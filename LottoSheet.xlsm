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cliveac-my.sharepoint.com/personal/kto39_uclive_ac_nz/Documents/Desktop/Portfolio/"/>
    </mc:Choice>
  </mc:AlternateContent>
  <xr:revisionPtr revIDLastSave="16690" documentId="8_{70290800-1F59-4B39-9620-4FE42614735C}" xr6:coauthVersionLast="47" xr6:coauthVersionMax="47" xr10:uidLastSave="{20B4D38A-FD36-4668-B74D-DF1D1DF845E9}"/>
  <bookViews>
    <workbookView xWindow="-108" yWindow="-108" windowWidth="23256" windowHeight="12456" xr2:uid="{77A5E761-4A36-43E1-B53A-94600A700B58}"/>
  </bookViews>
  <sheets>
    <sheet name="All Bills" sheetId="5" r:id="rId1"/>
    <sheet name="Customer" sheetId="1" r:id="rId2"/>
    <sheet name="2-Digit Lotto Table" sheetId="2" r:id="rId3"/>
    <sheet name="3-Digit Lotto Table" sheetId="4" r:id="rId4"/>
    <sheet name="Chart" sheetId="16" r:id="rId5"/>
    <sheet name="2-Digit Heat map" sheetId="20" r:id="rId6"/>
    <sheet name="3-Digit Heat map" sheetId="19" r:id="rId7"/>
    <sheet name="Income statement" sheetId="21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21" l="1"/>
  <c r="E11" i="21"/>
  <c r="E10" i="21"/>
  <c r="E9" i="21"/>
  <c r="E8" i="21"/>
  <c r="E20" i="21"/>
  <c r="E35" i="1"/>
  <c r="F35" i="1" s="1"/>
  <c r="E34" i="1"/>
  <c r="F34" i="1" s="1"/>
  <c r="E33" i="1"/>
  <c r="F33" i="1" s="1"/>
  <c r="E32" i="1"/>
  <c r="F32" i="1" s="1"/>
  <c r="E31" i="1"/>
  <c r="F31" i="1" s="1"/>
  <c r="E30" i="1"/>
  <c r="F30" i="1" s="1"/>
  <c r="E29" i="1"/>
  <c r="F29" i="1" s="1"/>
  <c r="E28" i="1"/>
  <c r="F28" i="1" s="1"/>
  <c r="E27" i="1"/>
  <c r="F27" i="1" s="1"/>
  <c r="E26" i="1"/>
  <c r="F26" i="1" s="1"/>
  <c r="E25" i="1"/>
  <c r="F25" i="1" s="1"/>
  <c r="E24" i="1"/>
  <c r="F24" i="1" s="1"/>
  <c r="E23" i="1"/>
  <c r="F23" i="1" s="1"/>
  <c r="E22" i="1"/>
  <c r="F22" i="1" s="1"/>
  <c r="E21" i="1"/>
  <c r="F21" i="1" s="1"/>
  <c r="E20" i="1"/>
  <c r="F20" i="1" s="1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U214" i="19"/>
  <c r="U215" i="19"/>
  <c r="U216" i="19"/>
  <c r="U217" i="19"/>
  <c r="U218" i="19"/>
  <c r="U219" i="19"/>
  <c r="U220" i="19"/>
  <c r="U221" i="19"/>
  <c r="U222" i="19"/>
  <c r="U223" i="19"/>
  <c r="U224" i="19"/>
  <c r="U225" i="19"/>
  <c r="U226" i="19"/>
  <c r="U227" i="19"/>
  <c r="U228" i="19"/>
  <c r="U229" i="19"/>
  <c r="U230" i="19"/>
  <c r="U231" i="19"/>
  <c r="U232" i="19"/>
  <c r="U233" i="19"/>
  <c r="U234" i="19"/>
  <c r="U235" i="19"/>
  <c r="U236" i="19"/>
  <c r="U237" i="19"/>
  <c r="U238" i="19"/>
  <c r="U239" i="19"/>
  <c r="U240" i="19"/>
  <c r="U241" i="19"/>
  <c r="U242" i="19"/>
  <c r="U243" i="19"/>
  <c r="U244" i="19"/>
  <c r="U245" i="19"/>
  <c r="U246" i="19"/>
  <c r="U247" i="19"/>
  <c r="U248" i="19"/>
  <c r="U249" i="19"/>
  <c r="U250" i="19"/>
  <c r="U251" i="19"/>
  <c r="U252" i="19"/>
  <c r="U253" i="19"/>
  <c r="U254" i="19"/>
  <c r="U255" i="19"/>
  <c r="U256" i="19"/>
  <c r="U257" i="19"/>
  <c r="U258" i="19"/>
  <c r="U259" i="19"/>
  <c r="U260" i="19"/>
  <c r="U261" i="19"/>
  <c r="U262" i="19"/>
  <c r="U263" i="19"/>
  <c r="U264" i="19"/>
  <c r="U265" i="19"/>
  <c r="U266" i="19"/>
  <c r="U267" i="19"/>
  <c r="U268" i="19"/>
  <c r="U269" i="19"/>
  <c r="U270" i="19"/>
  <c r="U271" i="19"/>
  <c r="U272" i="19"/>
  <c r="U273" i="19"/>
  <c r="U274" i="19"/>
  <c r="U275" i="19"/>
  <c r="U276" i="19"/>
  <c r="U277" i="19"/>
  <c r="U278" i="19"/>
  <c r="U279" i="19"/>
  <c r="U280" i="19"/>
  <c r="U281" i="19"/>
  <c r="U282" i="19"/>
  <c r="U283" i="19"/>
  <c r="U284" i="19"/>
  <c r="U285" i="19"/>
  <c r="U286" i="19"/>
  <c r="U287" i="19"/>
  <c r="U288" i="19"/>
  <c r="U289" i="19"/>
  <c r="U290" i="19"/>
  <c r="U291" i="19"/>
  <c r="U292" i="19"/>
  <c r="U293" i="19"/>
  <c r="U294" i="19"/>
  <c r="U295" i="19"/>
  <c r="U296" i="19"/>
  <c r="U297" i="19"/>
  <c r="U298" i="19"/>
  <c r="U299" i="19"/>
  <c r="U300" i="19"/>
  <c r="U301" i="19"/>
  <c r="U302" i="19"/>
  <c r="U303" i="19"/>
  <c r="U304" i="19"/>
  <c r="U305" i="19"/>
  <c r="U306" i="19"/>
  <c r="U307" i="19"/>
  <c r="U308" i="19"/>
  <c r="U309" i="19"/>
  <c r="U310" i="19"/>
  <c r="U311" i="19"/>
  <c r="U312" i="19"/>
  <c r="S214" i="19"/>
  <c r="S215" i="19"/>
  <c r="S216" i="19"/>
  <c r="S217" i="19"/>
  <c r="S218" i="19"/>
  <c r="S219" i="19"/>
  <c r="S220" i="19"/>
  <c r="S221" i="19"/>
  <c r="S222" i="19"/>
  <c r="S223" i="19"/>
  <c r="S224" i="19"/>
  <c r="S225" i="19"/>
  <c r="S226" i="19"/>
  <c r="S227" i="19"/>
  <c r="S228" i="19"/>
  <c r="S229" i="19"/>
  <c r="S230" i="19"/>
  <c r="S231" i="19"/>
  <c r="S232" i="19"/>
  <c r="S233" i="19"/>
  <c r="S234" i="19"/>
  <c r="S235" i="19"/>
  <c r="S236" i="19"/>
  <c r="S237" i="19"/>
  <c r="S238" i="19"/>
  <c r="S239" i="19"/>
  <c r="S240" i="19"/>
  <c r="S241" i="19"/>
  <c r="S242" i="19"/>
  <c r="S243" i="19"/>
  <c r="S244" i="19"/>
  <c r="S245" i="19"/>
  <c r="S246" i="19"/>
  <c r="S247" i="19"/>
  <c r="S248" i="19"/>
  <c r="S249" i="19"/>
  <c r="S250" i="19"/>
  <c r="S251" i="19"/>
  <c r="S252" i="19"/>
  <c r="S253" i="19"/>
  <c r="S254" i="19"/>
  <c r="S255" i="19"/>
  <c r="S256" i="19"/>
  <c r="S257" i="19"/>
  <c r="S258" i="19"/>
  <c r="S259" i="19"/>
  <c r="S260" i="19"/>
  <c r="S261" i="19"/>
  <c r="S262" i="19"/>
  <c r="S263" i="19"/>
  <c r="S264" i="19"/>
  <c r="S265" i="19"/>
  <c r="S266" i="19"/>
  <c r="S267" i="19"/>
  <c r="S268" i="19"/>
  <c r="S269" i="19"/>
  <c r="S270" i="19"/>
  <c r="S271" i="19"/>
  <c r="S272" i="19"/>
  <c r="S273" i="19"/>
  <c r="S274" i="19"/>
  <c r="S275" i="19"/>
  <c r="S276" i="19"/>
  <c r="S277" i="19"/>
  <c r="S278" i="19"/>
  <c r="S279" i="19"/>
  <c r="S280" i="19"/>
  <c r="S281" i="19"/>
  <c r="S282" i="19"/>
  <c r="S283" i="19"/>
  <c r="S284" i="19"/>
  <c r="S285" i="19"/>
  <c r="S286" i="19"/>
  <c r="S287" i="19"/>
  <c r="S288" i="19"/>
  <c r="S289" i="19"/>
  <c r="S290" i="19"/>
  <c r="S291" i="19"/>
  <c r="S292" i="19"/>
  <c r="S293" i="19"/>
  <c r="S294" i="19"/>
  <c r="S295" i="19"/>
  <c r="S296" i="19"/>
  <c r="S297" i="19"/>
  <c r="S298" i="19"/>
  <c r="S299" i="19"/>
  <c r="S300" i="19"/>
  <c r="S301" i="19"/>
  <c r="S302" i="19"/>
  <c r="S303" i="19"/>
  <c r="S304" i="19"/>
  <c r="S305" i="19"/>
  <c r="S306" i="19"/>
  <c r="S307" i="19"/>
  <c r="S308" i="19"/>
  <c r="S309" i="19"/>
  <c r="S310" i="19"/>
  <c r="S311" i="19"/>
  <c r="S312" i="19"/>
  <c r="Q214" i="19"/>
  <c r="Q215" i="19"/>
  <c r="Q216" i="19"/>
  <c r="Q217" i="19"/>
  <c r="Q218" i="19"/>
  <c r="Q219" i="19"/>
  <c r="Q220" i="19"/>
  <c r="Q221" i="19"/>
  <c r="Q222" i="19"/>
  <c r="Q223" i="19"/>
  <c r="Q224" i="19"/>
  <c r="Q225" i="19"/>
  <c r="Q226" i="19"/>
  <c r="Q227" i="19"/>
  <c r="Q228" i="19"/>
  <c r="Q229" i="19"/>
  <c r="Q230" i="19"/>
  <c r="Q231" i="19"/>
  <c r="Q232" i="19"/>
  <c r="Q233" i="19"/>
  <c r="Q234" i="19"/>
  <c r="Q235" i="19"/>
  <c r="Q236" i="19"/>
  <c r="Q237" i="19"/>
  <c r="Q238" i="19"/>
  <c r="Q239" i="19"/>
  <c r="Q240" i="19"/>
  <c r="Q241" i="19"/>
  <c r="Q242" i="19"/>
  <c r="Q243" i="19"/>
  <c r="Q244" i="19"/>
  <c r="Q245" i="19"/>
  <c r="Q246" i="19"/>
  <c r="Q247" i="19"/>
  <c r="Q248" i="19"/>
  <c r="Q249" i="19"/>
  <c r="Q250" i="19"/>
  <c r="Q251" i="19"/>
  <c r="Q252" i="19"/>
  <c r="Q253" i="19"/>
  <c r="Q254" i="19"/>
  <c r="Q255" i="19"/>
  <c r="Q256" i="19"/>
  <c r="Q257" i="19"/>
  <c r="Q258" i="19"/>
  <c r="Q259" i="19"/>
  <c r="Q260" i="19"/>
  <c r="Q261" i="19"/>
  <c r="Q262" i="19"/>
  <c r="Q263" i="19"/>
  <c r="Q264" i="19"/>
  <c r="Q265" i="19"/>
  <c r="Q266" i="19"/>
  <c r="Q267" i="19"/>
  <c r="Q268" i="19"/>
  <c r="Q269" i="19"/>
  <c r="Q270" i="19"/>
  <c r="Q271" i="19"/>
  <c r="Q272" i="19"/>
  <c r="Q273" i="19"/>
  <c r="Q274" i="19"/>
  <c r="Q275" i="19"/>
  <c r="Q276" i="19"/>
  <c r="Q277" i="19"/>
  <c r="Q278" i="19"/>
  <c r="Q279" i="19"/>
  <c r="Q280" i="19"/>
  <c r="Q281" i="19"/>
  <c r="Q282" i="19"/>
  <c r="Q283" i="19"/>
  <c r="Q284" i="19"/>
  <c r="Q285" i="19"/>
  <c r="Q286" i="19"/>
  <c r="Q287" i="19"/>
  <c r="Q288" i="19"/>
  <c r="Q289" i="19"/>
  <c r="Q290" i="19"/>
  <c r="Q291" i="19"/>
  <c r="Q292" i="19"/>
  <c r="Q293" i="19"/>
  <c r="Q294" i="19"/>
  <c r="Q295" i="19"/>
  <c r="Q296" i="19"/>
  <c r="Q297" i="19"/>
  <c r="Q298" i="19"/>
  <c r="Q299" i="19"/>
  <c r="Q300" i="19"/>
  <c r="Q301" i="19"/>
  <c r="Q302" i="19"/>
  <c r="Q303" i="19"/>
  <c r="Q304" i="19"/>
  <c r="Q305" i="19"/>
  <c r="Q306" i="19"/>
  <c r="Q307" i="19"/>
  <c r="Q308" i="19"/>
  <c r="Q309" i="19"/>
  <c r="Q310" i="19"/>
  <c r="Q311" i="19"/>
  <c r="Q312" i="19"/>
  <c r="O214" i="19"/>
  <c r="O215" i="19"/>
  <c r="O216" i="19"/>
  <c r="O217" i="19"/>
  <c r="O218" i="19"/>
  <c r="O219" i="19"/>
  <c r="O220" i="19"/>
  <c r="O221" i="19"/>
  <c r="O222" i="19"/>
  <c r="O223" i="19"/>
  <c r="O224" i="19"/>
  <c r="O225" i="19"/>
  <c r="O226" i="19"/>
  <c r="O227" i="19"/>
  <c r="O228" i="19"/>
  <c r="O229" i="19"/>
  <c r="O230" i="19"/>
  <c r="O231" i="19"/>
  <c r="O232" i="19"/>
  <c r="O233" i="19"/>
  <c r="O234" i="19"/>
  <c r="O235" i="19"/>
  <c r="O236" i="19"/>
  <c r="O237" i="19"/>
  <c r="O238" i="19"/>
  <c r="O239" i="19"/>
  <c r="O240" i="19"/>
  <c r="O241" i="19"/>
  <c r="O242" i="19"/>
  <c r="O243" i="19"/>
  <c r="O244" i="19"/>
  <c r="O245" i="19"/>
  <c r="O246" i="19"/>
  <c r="O247" i="19"/>
  <c r="O248" i="19"/>
  <c r="O249" i="19"/>
  <c r="O250" i="19"/>
  <c r="O251" i="19"/>
  <c r="O252" i="19"/>
  <c r="O253" i="19"/>
  <c r="O254" i="19"/>
  <c r="O255" i="19"/>
  <c r="O256" i="19"/>
  <c r="O257" i="19"/>
  <c r="O258" i="19"/>
  <c r="O259" i="19"/>
  <c r="O260" i="19"/>
  <c r="O261" i="19"/>
  <c r="O262" i="19"/>
  <c r="O263" i="19"/>
  <c r="O264" i="19"/>
  <c r="O265" i="19"/>
  <c r="O266" i="19"/>
  <c r="O267" i="19"/>
  <c r="O268" i="19"/>
  <c r="O269" i="19"/>
  <c r="O270" i="19"/>
  <c r="O271" i="19"/>
  <c r="O272" i="19"/>
  <c r="O273" i="19"/>
  <c r="O274" i="19"/>
  <c r="O275" i="19"/>
  <c r="O276" i="19"/>
  <c r="O277" i="19"/>
  <c r="O278" i="19"/>
  <c r="O279" i="19"/>
  <c r="O280" i="19"/>
  <c r="O281" i="19"/>
  <c r="O282" i="19"/>
  <c r="O283" i="19"/>
  <c r="O284" i="19"/>
  <c r="O285" i="19"/>
  <c r="O286" i="19"/>
  <c r="O287" i="19"/>
  <c r="O288" i="19"/>
  <c r="O289" i="19"/>
  <c r="O290" i="19"/>
  <c r="O291" i="19"/>
  <c r="O292" i="19"/>
  <c r="O293" i="19"/>
  <c r="O294" i="19"/>
  <c r="O295" i="19"/>
  <c r="O296" i="19"/>
  <c r="O297" i="19"/>
  <c r="O298" i="19"/>
  <c r="O299" i="19"/>
  <c r="O300" i="19"/>
  <c r="O301" i="19"/>
  <c r="O302" i="19"/>
  <c r="O303" i="19"/>
  <c r="O304" i="19"/>
  <c r="O305" i="19"/>
  <c r="O306" i="19"/>
  <c r="O307" i="19"/>
  <c r="O308" i="19"/>
  <c r="O309" i="19"/>
  <c r="O310" i="19"/>
  <c r="O311" i="19"/>
  <c r="O312" i="19"/>
  <c r="M214" i="19"/>
  <c r="M215" i="19"/>
  <c r="M216" i="19"/>
  <c r="M217" i="19"/>
  <c r="M218" i="19"/>
  <c r="M219" i="19"/>
  <c r="M220" i="19"/>
  <c r="M221" i="19"/>
  <c r="M222" i="19"/>
  <c r="M223" i="19"/>
  <c r="M224" i="19"/>
  <c r="M225" i="19"/>
  <c r="M226" i="19"/>
  <c r="M227" i="19"/>
  <c r="M228" i="19"/>
  <c r="M229" i="19"/>
  <c r="M230" i="19"/>
  <c r="M231" i="19"/>
  <c r="M232" i="19"/>
  <c r="M233" i="19"/>
  <c r="M234" i="19"/>
  <c r="M235" i="19"/>
  <c r="M236" i="19"/>
  <c r="M237" i="19"/>
  <c r="M238" i="19"/>
  <c r="M239" i="19"/>
  <c r="M240" i="19"/>
  <c r="M241" i="19"/>
  <c r="M242" i="19"/>
  <c r="M243" i="19"/>
  <c r="M244" i="19"/>
  <c r="M245" i="19"/>
  <c r="M246" i="19"/>
  <c r="M247" i="19"/>
  <c r="M248" i="19"/>
  <c r="M249" i="19"/>
  <c r="M250" i="19"/>
  <c r="M251" i="19"/>
  <c r="M252" i="19"/>
  <c r="M253" i="19"/>
  <c r="M254" i="19"/>
  <c r="M255" i="19"/>
  <c r="M256" i="19"/>
  <c r="M257" i="19"/>
  <c r="M258" i="19"/>
  <c r="M259" i="19"/>
  <c r="M260" i="19"/>
  <c r="M261" i="19"/>
  <c r="M262" i="19"/>
  <c r="M263" i="19"/>
  <c r="M264" i="19"/>
  <c r="M265" i="19"/>
  <c r="M266" i="19"/>
  <c r="M267" i="19"/>
  <c r="M268" i="19"/>
  <c r="M269" i="19"/>
  <c r="M270" i="19"/>
  <c r="M271" i="19"/>
  <c r="M272" i="19"/>
  <c r="M273" i="19"/>
  <c r="M274" i="19"/>
  <c r="M275" i="19"/>
  <c r="M276" i="19"/>
  <c r="M277" i="19"/>
  <c r="M278" i="19"/>
  <c r="M279" i="19"/>
  <c r="M280" i="19"/>
  <c r="M281" i="19"/>
  <c r="M282" i="19"/>
  <c r="M283" i="19"/>
  <c r="M284" i="19"/>
  <c r="M285" i="19"/>
  <c r="M286" i="19"/>
  <c r="M287" i="19"/>
  <c r="M288" i="19"/>
  <c r="M289" i="19"/>
  <c r="M290" i="19"/>
  <c r="M291" i="19"/>
  <c r="M292" i="19"/>
  <c r="M293" i="19"/>
  <c r="M294" i="19"/>
  <c r="M295" i="19"/>
  <c r="M296" i="19"/>
  <c r="M297" i="19"/>
  <c r="M298" i="19"/>
  <c r="M299" i="19"/>
  <c r="M300" i="19"/>
  <c r="M301" i="19"/>
  <c r="M302" i="19"/>
  <c r="M303" i="19"/>
  <c r="M304" i="19"/>
  <c r="M305" i="19"/>
  <c r="M306" i="19"/>
  <c r="M307" i="19"/>
  <c r="M308" i="19"/>
  <c r="M309" i="19"/>
  <c r="M310" i="19"/>
  <c r="M311" i="19"/>
  <c r="M312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52" i="19"/>
  <c r="K253" i="19"/>
  <c r="K254" i="19"/>
  <c r="K255" i="19"/>
  <c r="K256" i="19"/>
  <c r="K257" i="19"/>
  <c r="K258" i="19"/>
  <c r="K259" i="19"/>
  <c r="K260" i="19"/>
  <c r="K261" i="19"/>
  <c r="K262" i="19"/>
  <c r="K263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I214" i="19"/>
  <c r="I215" i="19"/>
  <c r="I216" i="19"/>
  <c r="I217" i="19"/>
  <c r="I218" i="19"/>
  <c r="I219" i="19"/>
  <c r="I220" i="19"/>
  <c r="I221" i="19"/>
  <c r="I222" i="19"/>
  <c r="I223" i="19"/>
  <c r="I224" i="19"/>
  <c r="I225" i="19"/>
  <c r="I226" i="19"/>
  <c r="I227" i="19"/>
  <c r="I228" i="19"/>
  <c r="I229" i="19"/>
  <c r="I230" i="19"/>
  <c r="I231" i="19"/>
  <c r="I232" i="19"/>
  <c r="I233" i="19"/>
  <c r="I234" i="19"/>
  <c r="I235" i="19"/>
  <c r="I236" i="19"/>
  <c r="I237" i="19"/>
  <c r="I238" i="19"/>
  <c r="I239" i="19"/>
  <c r="I240" i="19"/>
  <c r="I241" i="19"/>
  <c r="I242" i="19"/>
  <c r="I243" i="19"/>
  <c r="I244" i="19"/>
  <c r="I245" i="19"/>
  <c r="I246" i="19"/>
  <c r="I247" i="19"/>
  <c r="I248" i="19"/>
  <c r="I249" i="19"/>
  <c r="I250" i="19"/>
  <c r="I251" i="19"/>
  <c r="I252" i="19"/>
  <c r="I253" i="19"/>
  <c r="I254" i="19"/>
  <c r="I255" i="19"/>
  <c r="I256" i="19"/>
  <c r="I257" i="19"/>
  <c r="I258" i="19"/>
  <c r="I259" i="19"/>
  <c r="I260" i="19"/>
  <c r="I261" i="19"/>
  <c r="I262" i="19"/>
  <c r="I263" i="19"/>
  <c r="I264" i="19"/>
  <c r="I265" i="19"/>
  <c r="I266" i="19"/>
  <c r="I267" i="19"/>
  <c r="I268" i="19"/>
  <c r="I269" i="19"/>
  <c r="I270" i="19"/>
  <c r="I271" i="19"/>
  <c r="I272" i="19"/>
  <c r="I273" i="19"/>
  <c r="I274" i="19"/>
  <c r="I275" i="19"/>
  <c r="I276" i="19"/>
  <c r="I277" i="19"/>
  <c r="I278" i="19"/>
  <c r="I279" i="19"/>
  <c r="I280" i="19"/>
  <c r="I281" i="19"/>
  <c r="I282" i="19"/>
  <c r="I283" i="19"/>
  <c r="I284" i="19"/>
  <c r="I285" i="19"/>
  <c r="I286" i="19"/>
  <c r="I287" i="19"/>
  <c r="I288" i="19"/>
  <c r="I289" i="19"/>
  <c r="I290" i="19"/>
  <c r="I291" i="19"/>
  <c r="I292" i="19"/>
  <c r="I293" i="19"/>
  <c r="I294" i="19"/>
  <c r="I295" i="19"/>
  <c r="I296" i="19"/>
  <c r="I297" i="19"/>
  <c r="I298" i="19"/>
  <c r="I299" i="19"/>
  <c r="I300" i="19"/>
  <c r="I301" i="19"/>
  <c r="I302" i="19"/>
  <c r="I303" i="19"/>
  <c r="I304" i="19"/>
  <c r="I305" i="19"/>
  <c r="I306" i="19"/>
  <c r="I307" i="19"/>
  <c r="I308" i="19"/>
  <c r="I309" i="19"/>
  <c r="I310" i="19"/>
  <c r="I311" i="19"/>
  <c r="I312" i="19"/>
  <c r="G214" i="19"/>
  <c r="G215" i="19"/>
  <c r="G216" i="19"/>
  <c r="G217" i="19"/>
  <c r="G218" i="19"/>
  <c r="G219" i="19"/>
  <c r="G220" i="19"/>
  <c r="G221" i="19"/>
  <c r="G222" i="19"/>
  <c r="G223" i="19"/>
  <c r="G224" i="19"/>
  <c r="G225" i="19"/>
  <c r="G226" i="19"/>
  <c r="G227" i="19"/>
  <c r="G228" i="19"/>
  <c r="G229" i="19"/>
  <c r="G230" i="19"/>
  <c r="G231" i="19"/>
  <c r="G232" i="19"/>
  <c r="G233" i="19"/>
  <c r="G234" i="19"/>
  <c r="G235" i="19"/>
  <c r="G236" i="19"/>
  <c r="G237" i="19"/>
  <c r="G238" i="19"/>
  <c r="G239" i="19"/>
  <c r="G240" i="19"/>
  <c r="G241" i="19"/>
  <c r="G242" i="19"/>
  <c r="G243" i="19"/>
  <c r="G244" i="19"/>
  <c r="G245" i="19"/>
  <c r="G246" i="19"/>
  <c r="G247" i="19"/>
  <c r="G248" i="19"/>
  <c r="G249" i="19"/>
  <c r="G250" i="19"/>
  <c r="G251" i="19"/>
  <c r="G252" i="19"/>
  <c r="G253" i="19"/>
  <c r="G254" i="19"/>
  <c r="G255" i="19"/>
  <c r="G256" i="19"/>
  <c r="G257" i="19"/>
  <c r="G258" i="19"/>
  <c r="G259" i="19"/>
  <c r="G260" i="19"/>
  <c r="G261" i="19"/>
  <c r="G262" i="19"/>
  <c r="G263" i="19"/>
  <c r="G264" i="19"/>
  <c r="G265" i="19"/>
  <c r="G266" i="19"/>
  <c r="G267" i="19"/>
  <c r="G268" i="19"/>
  <c r="G269" i="19"/>
  <c r="G270" i="19"/>
  <c r="G271" i="19"/>
  <c r="G272" i="19"/>
  <c r="G273" i="19"/>
  <c r="G274" i="19"/>
  <c r="G275" i="19"/>
  <c r="G276" i="19"/>
  <c r="G277" i="19"/>
  <c r="G278" i="19"/>
  <c r="G279" i="19"/>
  <c r="G280" i="19"/>
  <c r="G281" i="19"/>
  <c r="G282" i="19"/>
  <c r="G283" i="19"/>
  <c r="G284" i="19"/>
  <c r="G285" i="19"/>
  <c r="G286" i="19"/>
  <c r="G287" i="19"/>
  <c r="G288" i="19"/>
  <c r="G289" i="19"/>
  <c r="G290" i="19"/>
  <c r="G291" i="19"/>
  <c r="G292" i="19"/>
  <c r="G293" i="19"/>
  <c r="G294" i="19"/>
  <c r="G295" i="19"/>
  <c r="G296" i="19"/>
  <c r="G297" i="19"/>
  <c r="G298" i="19"/>
  <c r="G299" i="19"/>
  <c r="G300" i="19"/>
  <c r="G301" i="19"/>
  <c r="G302" i="19"/>
  <c r="G303" i="19"/>
  <c r="G304" i="19"/>
  <c r="G305" i="19"/>
  <c r="G306" i="19"/>
  <c r="G307" i="19"/>
  <c r="G308" i="19"/>
  <c r="G309" i="19"/>
  <c r="G310" i="19"/>
  <c r="G311" i="19"/>
  <c r="G312" i="19"/>
  <c r="E214" i="19"/>
  <c r="E215" i="19"/>
  <c r="E216" i="19"/>
  <c r="E217" i="19"/>
  <c r="E218" i="19"/>
  <c r="E219" i="19"/>
  <c r="E220" i="19"/>
  <c r="E221" i="19"/>
  <c r="E222" i="19"/>
  <c r="E223" i="19"/>
  <c r="E224" i="19"/>
  <c r="E225" i="19"/>
  <c r="E226" i="19"/>
  <c r="E227" i="19"/>
  <c r="E228" i="19"/>
  <c r="E229" i="19"/>
  <c r="E230" i="19"/>
  <c r="E231" i="19"/>
  <c r="E232" i="19"/>
  <c r="E233" i="19"/>
  <c r="E234" i="19"/>
  <c r="E235" i="19"/>
  <c r="E236" i="19"/>
  <c r="E237" i="19"/>
  <c r="E238" i="19"/>
  <c r="E239" i="19"/>
  <c r="E240" i="19"/>
  <c r="E241" i="19"/>
  <c r="E242" i="19"/>
  <c r="E243" i="19"/>
  <c r="E244" i="19"/>
  <c r="E245" i="19"/>
  <c r="E246" i="19"/>
  <c r="E247" i="19"/>
  <c r="E248" i="19"/>
  <c r="E249" i="19"/>
  <c r="E250" i="19"/>
  <c r="E251" i="19"/>
  <c r="E252" i="19"/>
  <c r="E253" i="19"/>
  <c r="E254" i="19"/>
  <c r="E255" i="19"/>
  <c r="E256" i="19"/>
  <c r="E257" i="19"/>
  <c r="E258" i="19"/>
  <c r="E259" i="19"/>
  <c r="E260" i="19"/>
  <c r="E261" i="19"/>
  <c r="E262" i="19"/>
  <c r="E263" i="19"/>
  <c r="E264" i="19"/>
  <c r="E265" i="19"/>
  <c r="E266" i="19"/>
  <c r="E267" i="19"/>
  <c r="E268" i="19"/>
  <c r="E269" i="19"/>
  <c r="E270" i="19"/>
  <c r="E271" i="19"/>
  <c r="E272" i="19"/>
  <c r="E273" i="19"/>
  <c r="E274" i="19"/>
  <c r="E275" i="19"/>
  <c r="E276" i="19"/>
  <c r="E277" i="19"/>
  <c r="E278" i="19"/>
  <c r="E279" i="19"/>
  <c r="E280" i="19"/>
  <c r="E281" i="19"/>
  <c r="E282" i="19"/>
  <c r="E283" i="19"/>
  <c r="E284" i="19"/>
  <c r="E285" i="19"/>
  <c r="E286" i="19"/>
  <c r="E287" i="19"/>
  <c r="E288" i="19"/>
  <c r="E289" i="19"/>
  <c r="E290" i="19"/>
  <c r="E291" i="19"/>
  <c r="E292" i="19"/>
  <c r="E293" i="19"/>
  <c r="E294" i="19"/>
  <c r="E295" i="19"/>
  <c r="E296" i="19"/>
  <c r="E297" i="19"/>
  <c r="E298" i="19"/>
  <c r="E299" i="19"/>
  <c r="E300" i="19"/>
  <c r="E301" i="19"/>
  <c r="E302" i="19"/>
  <c r="E303" i="19"/>
  <c r="E304" i="19"/>
  <c r="E305" i="19"/>
  <c r="E306" i="19"/>
  <c r="E307" i="19"/>
  <c r="E308" i="19"/>
  <c r="E309" i="19"/>
  <c r="E310" i="19"/>
  <c r="E311" i="19"/>
  <c r="E312" i="19"/>
  <c r="C214" i="19"/>
  <c r="C215" i="19"/>
  <c r="C216" i="19"/>
  <c r="C217" i="19"/>
  <c r="C218" i="19"/>
  <c r="C219" i="19"/>
  <c r="C220" i="19"/>
  <c r="C221" i="19"/>
  <c r="C222" i="19"/>
  <c r="C223" i="19"/>
  <c r="C224" i="19"/>
  <c r="C225" i="19"/>
  <c r="C226" i="19"/>
  <c r="C227" i="19"/>
  <c r="C228" i="19"/>
  <c r="C229" i="19"/>
  <c r="C230" i="19"/>
  <c r="C231" i="19"/>
  <c r="C232" i="19"/>
  <c r="C233" i="19"/>
  <c r="C234" i="19"/>
  <c r="C235" i="19"/>
  <c r="C236" i="19"/>
  <c r="C237" i="19"/>
  <c r="C238" i="19"/>
  <c r="C239" i="19"/>
  <c r="C240" i="19"/>
  <c r="C241" i="19"/>
  <c r="C242" i="19"/>
  <c r="C243" i="19"/>
  <c r="C244" i="19"/>
  <c r="C245" i="19"/>
  <c r="C246" i="19"/>
  <c r="C247" i="19"/>
  <c r="C248" i="19"/>
  <c r="C249" i="19"/>
  <c r="C250" i="19"/>
  <c r="C251" i="19"/>
  <c r="C252" i="19"/>
  <c r="C253" i="19"/>
  <c r="C254" i="19"/>
  <c r="C255" i="19"/>
  <c r="C256" i="19"/>
  <c r="C257" i="19"/>
  <c r="C258" i="19"/>
  <c r="C259" i="19"/>
  <c r="C260" i="19"/>
  <c r="C261" i="19"/>
  <c r="C262" i="19"/>
  <c r="C263" i="19"/>
  <c r="C264" i="19"/>
  <c r="C265" i="19"/>
  <c r="C266" i="19"/>
  <c r="C267" i="19"/>
  <c r="C268" i="19"/>
  <c r="C269" i="19"/>
  <c r="C270" i="19"/>
  <c r="C271" i="19"/>
  <c r="C272" i="19"/>
  <c r="C273" i="19"/>
  <c r="C274" i="19"/>
  <c r="C275" i="19"/>
  <c r="C276" i="19"/>
  <c r="C277" i="19"/>
  <c r="C278" i="19"/>
  <c r="C279" i="19"/>
  <c r="C280" i="19"/>
  <c r="C281" i="19"/>
  <c r="C282" i="19"/>
  <c r="C283" i="19"/>
  <c r="C284" i="19"/>
  <c r="C285" i="19"/>
  <c r="C286" i="19"/>
  <c r="C287" i="19"/>
  <c r="C288" i="19"/>
  <c r="C289" i="19"/>
  <c r="C290" i="19"/>
  <c r="C291" i="19"/>
  <c r="C292" i="19"/>
  <c r="C293" i="19"/>
  <c r="C294" i="19"/>
  <c r="C295" i="19"/>
  <c r="C296" i="19"/>
  <c r="C297" i="19"/>
  <c r="C298" i="19"/>
  <c r="C299" i="19"/>
  <c r="C300" i="19"/>
  <c r="C301" i="19"/>
  <c r="C302" i="19"/>
  <c r="C303" i="19"/>
  <c r="C304" i="19"/>
  <c r="C305" i="19"/>
  <c r="C306" i="19"/>
  <c r="C307" i="19"/>
  <c r="C308" i="19"/>
  <c r="C309" i="19"/>
  <c r="C310" i="19"/>
  <c r="C311" i="19"/>
  <c r="C312" i="19"/>
  <c r="U213" i="19"/>
  <c r="S213" i="19"/>
  <c r="Q213" i="19"/>
  <c r="O213" i="19"/>
  <c r="M213" i="19"/>
  <c r="K213" i="19"/>
  <c r="I213" i="19"/>
  <c r="G213" i="19"/>
  <c r="E213" i="19"/>
  <c r="C213" i="19"/>
  <c r="U110" i="19"/>
  <c r="U111" i="19"/>
  <c r="U112" i="19"/>
  <c r="U113" i="19"/>
  <c r="U114" i="19"/>
  <c r="U115" i="19"/>
  <c r="U116" i="19"/>
  <c r="U117" i="19"/>
  <c r="U118" i="19"/>
  <c r="U119" i="19"/>
  <c r="U120" i="19"/>
  <c r="U121" i="19"/>
  <c r="U122" i="19"/>
  <c r="U123" i="19"/>
  <c r="U124" i="19"/>
  <c r="U125" i="19"/>
  <c r="U126" i="19"/>
  <c r="U127" i="19"/>
  <c r="U128" i="19"/>
  <c r="U129" i="19"/>
  <c r="U130" i="19"/>
  <c r="U131" i="19"/>
  <c r="U132" i="19"/>
  <c r="U133" i="19"/>
  <c r="U134" i="19"/>
  <c r="U135" i="19"/>
  <c r="U136" i="19"/>
  <c r="U137" i="19"/>
  <c r="U138" i="19"/>
  <c r="U139" i="19"/>
  <c r="U140" i="19"/>
  <c r="U141" i="19"/>
  <c r="U142" i="19"/>
  <c r="U143" i="19"/>
  <c r="U144" i="19"/>
  <c r="U145" i="19"/>
  <c r="U146" i="19"/>
  <c r="U147" i="19"/>
  <c r="U148" i="19"/>
  <c r="U149" i="19"/>
  <c r="U150" i="19"/>
  <c r="U151" i="19"/>
  <c r="U152" i="19"/>
  <c r="U153" i="19"/>
  <c r="U154" i="19"/>
  <c r="U155" i="19"/>
  <c r="U156" i="19"/>
  <c r="U157" i="19"/>
  <c r="U158" i="19"/>
  <c r="U159" i="19"/>
  <c r="U160" i="19"/>
  <c r="U161" i="19"/>
  <c r="U162" i="19"/>
  <c r="U163" i="19"/>
  <c r="U164" i="19"/>
  <c r="U165" i="19"/>
  <c r="U166" i="19"/>
  <c r="U167" i="19"/>
  <c r="U168" i="19"/>
  <c r="U169" i="19"/>
  <c r="U170" i="19"/>
  <c r="U171" i="19"/>
  <c r="U172" i="19"/>
  <c r="U173" i="19"/>
  <c r="U174" i="19"/>
  <c r="U175" i="19"/>
  <c r="U176" i="19"/>
  <c r="U177" i="19"/>
  <c r="U178" i="19"/>
  <c r="U179" i="19"/>
  <c r="U180" i="19"/>
  <c r="U181" i="19"/>
  <c r="U182" i="19"/>
  <c r="U183" i="19"/>
  <c r="U184" i="19"/>
  <c r="U185" i="19"/>
  <c r="U186" i="19"/>
  <c r="U187" i="19"/>
  <c r="U188" i="19"/>
  <c r="U189" i="19"/>
  <c r="U190" i="19"/>
  <c r="U191" i="19"/>
  <c r="U192" i="19"/>
  <c r="U193" i="19"/>
  <c r="U194" i="19"/>
  <c r="U195" i="19"/>
  <c r="U196" i="19"/>
  <c r="U197" i="19"/>
  <c r="U198" i="19"/>
  <c r="U199" i="19"/>
  <c r="U200" i="19"/>
  <c r="U201" i="19"/>
  <c r="U202" i="19"/>
  <c r="U203" i="19"/>
  <c r="U204" i="19"/>
  <c r="U205" i="19"/>
  <c r="U206" i="19"/>
  <c r="U207" i="19"/>
  <c r="U208" i="19"/>
  <c r="S110" i="19"/>
  <c r="S111" i="19"/>
  <c r="S112" i="19"/>
  <c r="S113" i="19"/>
  <c r="S114" i="19"/>
  <c r="S115" i="19"/>
  <c r="S116" i="19"/>
  <c r="S117" i="19"/>
  <c r="S118" i="19"/>
  <c r="S119" i="19"/>
  <c r="S120" i="19"/>
  <c r="S121" i="19"/>
  <c r="S122" i="19"/>
  <c r="S123" i="19"/>
  <c r="S124" i="19"/>
  <c r="S125" i="19"/>
  <c r="S126" i="19"/>
  <c r="S127" i="19"/>
  <c r="S128" i="19"/>
  <c r="S129" i="19"/>
  <c r="S130" i="19"/>
  <c r="S131" i="19"/>
  <c r="S132" i="19"/>
  <c r="S133" i="19"/>
  <c r="S134" i="19"/>
  <c r="S135" i="19"/>
  <c r="S136" i="19"/>
  <c r="S137" i="19"/>
  <c r="S138" i="19"/>
  <c r="S139" i="19"/>
  <c r="S140" i="19"/>
  <c r="S141" i="19"/>
  <c r="S142" i="19"/>
  <c r="S143" i="19"/>
  <c r="S144" i="19"/>
  <c r="S145" i="19"/>
  <c r="S146" i="19"/>
  <c r="S147" i="19"/>
  <c r="S148" i="19"/>
  <c r="S149" i="19"/>
  <c r="S150" i="19"/>
  <c r="S151" i="19"/>
  <c r="S152" i="19"/>
  <c r="S153" i="19"/>
  <c r="S154" i="19"/>
  <c r="S155" i="19"/>
  <c r="S156" i="19"/>
  <c r="S157" i="19"/>
  <c r="S158" i="19"/>
  <c r="S159" i="19"/>
  <c r="S160" i="19"/>
  <c r="S161" i="19"/>
  <c r="S162" i="19"/>
  <c r="S163" i="19"/>
  <c r="S164" i="19"/>
  <c r="S165" i="19"/>
  <c r="S166" i="19"/>
  <c r="S167" i="19"/>
  <c r="S168" i="19"/>
  <c r="S169" i="19"/>
  <c r="S170" i="19"/>
  <c r="S171" i="19"/>
  <c r="S172" i="19"/>
  <c r="S173" i="19"/>
  <c r="S174" i="19"/>
  <c r="S175" i="19"/>
  <c r="S176" i="19"/>
  <c r="S177" i="19"/>
  <c r="S178" i="19"/>
  <c r="S179" i="19"/>
  <c r="S180" i="19"/>
  <c r="S181" i="19"/>
  <c r="S182" i="19"/>
  <c r="S183" i="19"/>
  <c r="S184" i="19"/>
  <c r="S185" i="19"/>
  <c r="S186" i="19"/>
  <c r="S187" i="19"/>
  <c r="S188" i="19"/>
  <c r="S189" i="19"/>
  <c r="S190" i="19"/>
  <c r="S191" i="19"/>
  <c r="S192" i="19"/>
  <c r="S193" i="19"/>
  <c r="S194" i="19"/>
  <c r="S195" i="19"/>
  <c r="S196" i="19"/>
  <c r="S197" i="19"/>
  <c r="S198" i="19"/>
  <c r="S199" i="19"/>
  <c r="S200" i="19"/>
  <c r="S201" i="19"/>
  <c r="S202" i="19"/>
  <c r="S203" i="19"/>
  <c r="S204" i="19"/>
  <c r="S205" i="19"/>
  <c r="S206" i="19"/>
  <c r="S207" i="19"/>
  <c r="S208" i="19"/>
  <c r="Q110" i="19"/>
  <c r="Q111" i="19"/>
  <c r="Q112" i="19"/>
  <c r="Q113" i="19"/>
  <c r="Q114" i="19"/>
  <c r="Q115" i="19"/>
  <c r="Q116" i="19"/>
  <c r="Q117" i="19"/>
  <c r="Q118" i="19"/>
  <c r="Q119" i="19"/>
  <c r="Q120" i="19"/>
  <c r="Q121" i="19"/>
  <c r="Q122" i="19"/>
  <c r="Q123" i="19"/>
  <c r="Q124" i="19"/>
  <c r="Q125" i="19"/>
  <c r="Q126" i="19"/>
  <c r="Q127" i="19"/>
  <c r="Q128" i="19"/>
  <c r="Q129" i="19"/>
  <c r="Q130" i="19"/>
  <c r="Q131" i="19"/>
  <c r="Q132" i="19"/>
  <c r="Q133" i="19"/>
  <c r="Q134" i="19"/>
  <c r="Q135" i="19"/>
  <c r="Q136" i="19"/>
  <c r="Q137" i="19"/>
  <c r="Q138" i="19"/>
  <c r="Q139" i="19"/>
  <c r="Q140" i="19"/>
  <c r="Q141" i="19"/>
  <c r="Q142" i="19"/>
  <c r="Q143" i="19"/>
  <c r="Q144" i="19"/>
  <c r="Q145" i="19"/>
  <c r="Q146" i="19"/>
  <c r="Q147" i="19"/>
  <c r="Q148" i="19"/>
  <c r="Q149" i="19"/>
  <c r="Q150" i="19"/>
  <c r="Q151" i="19"/>
  <c r="Q152" i="19"/>
  <c r="Q153" i="19"/>
  <c r="Q154" i="19"/>
  <c r="Q155" i="19"/>
  <c r="Q156" i="19"/>
  <c r="Q157" i="19"/>
  <c r="Q158" i="19"/>
  <c r="Q159" i="19"/>
  <c r="Q160" i="19"/>
  <c r="Q161" i="19"/>
  <c r="Q162" i="19"/>
  <c r="Q163" i="19"/>
  <c r="Q164" i="19"/>
  <c r="Q165" i="19"/>
  <c r="Q166" i="19"/>
  <c r="Q167" i="19"/>
  <c r="Q168" i="19"/>
  <c r="Q169" i="19"/>
  <c r="Q170" i="19"/>
  <c r="Q171" i="19"/>
  <c r="Q172" i="19"/>
  <c r="Q173" i="19"/>
  <c r="Q174" i="19"/>
  <c r="Q175" i="19"/>
  <c r="Q176" i="19"/>
  <c r="Q177" i="19"/>
  <c r="Q178" i="19"/>
  <c r="Q179" i="19"/>
  <c r="Q180" i="19"/>
  <c r="Q181" i="19"/>
  <c r="Q182" i="19"/>
  <c r="Q183" i="19"/>
  <c r="Q184" i="19"/>
  <c r="Q185" i="19"/>
  <c r="Q186" i="19"/>
  <c r="Q187" i="19"/>
  <c r="Q188" i="19"/>
  <c r="Q189" i="19"/>
  <c r="Q190" i="19"/>
  <c r="Q191" i="19"/>
  <c r="Q192" i="19"/>
  <c r="Q193" i="19"/>
  <c r="Q194" i="19"/>
  <c r="Q195" i="19"/>
  <c r="Q196" i="19"/>
  <c r="Q197" i="19"/>
  <c r="Q198" i="19"/>
  <c r="Q199" i="19"/>
  <c r="Q200" i="19"/>
  <c r="Q201" i="19"/>
  <c r="Q202" i="19"/>
  <c r="Q203" i="19"/>
  <c r="Q204" i="19"/>
  <c r="Q205" i="19"/>
  <c r="Q206" i="19"/>
  <c r="Q207" i="19"/>
  <c r="Q208" i="19"/>
  <c r="O110" i="19"/>
  <c r="O111" i="19"/>
  <c r="O112" i="19"/>
  <c r="O113" i="19"/>
  <c r="O114" i="19"/>
  <c r="O115" i="19"/>
  <c r="O116" i="19"/>
  <c r="O117" i="19"/>
  <c r="O118" i="19"/>
  <c r="O119" i="19"/>
  <c r="O120" i="19"/>
  <c r="O121" i="19"/>
  <c r="O122" i="19"/>
  <c r="O123" i="19"/>
  <c r="O124" i="19"/>
  <c r="O125" i="19"/>
  <c r="O126" i="19"/>
  <c r="O127" i="19"/>
  <c r="O128" i="19"/>
  <c r="O129" i="19"/>
  <c r="O130" i="19"/>
  <c r="O131" i="19"/>
  <c r="O132" i="19"/>
  <c r="O133" i="19"/>
  <c r="O134" i="19"/>
  <c r="O135" i="19"/>
  <c r="O136" i="19"/>
  <c r="O137" i="19"/>
  <c r="O138" i="19"/>
  <c r="O139" i="19"/>
  <c r="O140" i="19"/>
  <c r="O141" i="19"/>
  <c r="O142" i="19"/>
  <c r="O143" i="19"/>
  <c r="O144" i="19"/>
  <c r="O145" i="19"/>
  <c r="O146" i="19"/>
  <c r="O147" i="19"/>
  <c r="O148" i="19"/>
  <c r="O149" i="19"/>
  <c r="O150" i="19"/>
  <c r="O151" i="19"/>
  <c r="O152" i="19"/>
  <c r="O153" i="19"/>
  <c r="O154" i="19"/>
  <c r="O155" i="19"/>
  <c r="O156" i="19"/>
  <c r="O157" i="19"/>
  <c r="O158" i="19"/>
  <c r="O159" i="19"/>
  <c r="O160" i="19"/>
  <c r="O161" i="19"/>
  <c r="O162" i="19"/>
  <c r="O163" i="19"/>
  <c r="O164" i="19"/>
  <c r="O165" i="19"/>
  <c r="O166" i="19"/>
  <c r="O167" i="19"/>
  <c r="O168" i="19"/>
  <c r="O169" i="19"/>
  <c r="O170" i="19"/>
  <c r="O171" i="19"/>
  <c r="O172" i="19"/>
  <c r="O173" i="19"/>
  <c r="O174" i="19"/>
  <c r="O175" i="19"/>
  <c r="O176" i="19"/>
  <c r="O177" i="19"/>
  <c r="O178" i="19"/>
  <c r="O179" i="19"/>
  <c r="O180" i="19"/>
  <c r="O181" i="19"/>
  <c r="O182" i="19"/>
  <c r="O183" i="19"/>
  <c r="O184" i="19"/>
  <c r="O185" i="19"/>
  <c r="O186" i="19"/>
  <c r="O187" i="19"/>
  <c r="O188" i="19"/>
  <c r="O189" i="19"/>
  <c r="O190" i="19"/>
  <c r="O191" i="19"/>
  <c r="O192" i="19"/>
  <c r="O193" i="19"/>
  <c r="O194" i="19"/>
  <c r="O195" i="19"/>
  <c r="O196" i="19"/>
  <c r="O197" i="19"/>
  <c r="O198" i="19"/>
  <c r="O199" i="19"/>
  <c r="O200" i="19"/>
  <c r="O201" i="19"/>
  <c r="O202" i="19"/>
  <c r="O203" i="19"/>
  <c r="O204" i="19"/>
  <c r="O205" i="19"/>
  <c r="O206" i="19"/>
  <c r="O207" i="19"/>
  <c r="O208" i="19"/>
  <c r="M110" i="19"/>
  <c r="M111" i="19"/>
  <c r="M112" i="19"/>
  <c r="M113" i="19"/>
  <c r="M114" i="19"/>
  <c r="M115" i="19"/>
  <c r="M116" i="19"/>
  <c r="M117" i="19"/>
  <c r="M118" i="19"/>
  <c r="M119" i="19"/>
  <c r="M120" i="19"/>
  <c r="M121" i="19"/>
  <c r="M122" i="19"/>
  <c r="M123" i="19"/>
  <c r="M124" i="19"/>
  <c r="M125" i="19"/>
  <c r="M126" i="19"/>
  <c r="M127" i="19"/>
  <c r="M128" i="19"/>
  <c r="M129" i="19"/>
  <c r="M130" i="19"/>
  <c r="M131" i="19"/>
  <c r="M132" i="19"/>
  <c r="M133" i="19"/>
  <c r="M134" i="19"/>
  <c r="M135" i="19"/>
  <c r="M136" i="19"/>
  <c r="M137" i="19"/>
  <c r="M138" i="19"/>
  <c r="M139" i="19"/>
  <c r="M140" i="19"/>
  <c r="M141" i="19"/>
  <c r="M142" i="19"/>
  <c r="M143" i="19"/>
  <c r="M144" i="19"/>
  <c r="M145" i="19"/>
  <c r="M146" i="19"/>
  <c r="M147" i="19"/>
  <c r="M148" i="19"/>
  <c r="M149" i="19"/>
  <c r="M150" i="19"/>
  <c r="M151" i="19"/>
  <c r="M152" i="19"/>
  <c r="M153" i="19"/>
  <c r="M154" i="19"/>
  <c r="M155" i="19"/>
  <c r="M156" i="19"/>
  <c r="M157" i="19"/>
  <c r="M158" i="19"/>
  <c r="M159" i="19"/>
  <c r="M160" i="19"/>
  <c r="M161" i="19"/>
  <c r="M162" i="19"/>
  <c r="M163" i="19"/>
  <c r="M164" i="19"/>
  <c r="M165" i="19"/>
  <c r="M166" i="19"/>
  <c r="M167" i="19"/>
  <c r="M168" i="19"/>
  <c r="M169" i="19"/>
  <c r="M170" i="19"/>
  <c r="M171" i="19"/>
  <c r="M172" i="19"/>
  <c r="M173" i="19"/>
  <c r="M174" i="19"/>
  <c r="M175" i="19"/>
  <c r="M176" i="19"/>
  <c r="M177" i="19"/>
  <c r="M178" i="19"/>
  <c r="M179" i="19"/>
  <c r="M180" i="19"/>
  <c r="M181" i="19"/>
  <c r="M182" i="19"/>
  <c r="M183" i="19"/>
  <c r="M184" i="19"/>
  <c r="M185" i="19"/>
  <c r="M186" i="19"/>
  <c r="M187" i="19"/>
  <c r="M188" i="19"/>
  <c r="M189" i="19"/>
  <c r="M190" i="19"/>
  <c r="M191" i="19"/>
  <c r="M192" i="19"/>
  <c r="M193" i="19"/>
  <c r="M194" i="19"/>
  <c r="M195" i="19"/>
  <c r="M196" i="19"/>
  <c r="M197" i="19"/>
  <c r="M198" i="19"/>
  <c r="M199" i="19"/>
  <c r="M200" i="19"/>
  <c r="M201" i="19"/>
  <c r="M202" i="19"/>
  <c r="M203" i="19"/>
  <c r="M204" i="19"/>
  <c r="M205" i="19"/>
  <c r="M206" i="19"/>
  <c r="M207" i="19"/>
  <c r="M208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76" i="19"/>
  <c r="K177" i="19"/>
  <c r="K178" i="19"/>
  <c r="K179" i="19"/>
  <c r="K180" i="19"/>
  <c r="K181" i="19"/>
  <c r="K182" i="19"/>
  <c r="K183" i="19"/>
  <c r="K184" i="19"/>
  <c r="K185" i="19"/>
  <c r="K186" i="19"/>
  <c r="K187" i="19"/>
  <c r="K188" i="19"/>
  <c r="K189" i="19"/>
  <c r="K190" i="19"/>
  <c r="K191" i="19"/>
  <c r="K192" i="19"/>
  <c r="K193" i="19"/>
  <c r="K194" i="19"/>
  <c r="K195" i="19"/>
  <c r="K196" i="19"/>
  <c r="K197" i="19"/>
  <c r="K198" i="19"/>
  <c r="K199" i="19"/>
  <c r="K200" i="19"/>
  <c r="K201" i="19"/>
  <c r="K202" i="19"/>
  <c r="K203" i="19"/>
  <c r="K204" i="19"/>
  <c r="K205" i="19"/>
  <c r="K206" i="19"/>
  <c r="K207" i="19"/>
  <c r="K208" i="19"/>
  <c r="I110" i="19"/>
  <c r="I111" i="19"/>
  <c r="I112" i="19"/>
  <c r="I113" i="19"/>
  <c r="I114" i="19"/>
  <c r="I115" i="19"/>
  <c r="I116" i="19"/>
  <c r="I117" i="19"/>
  <c r="I118" i="19"/>
  <c r="I119" i="19"/>
  <c r="I120" i="19"/>
  <c r="I121" i="19"/>
  <c r="I122" i="19"/>
  <c r="I123" i="19"/>
  <c r="I124" i="19"/>
  <c r="I125" i="19"/>
  <c r="I126" i="19"/>
  <c r="I127" i="19"/>
  <c r="I128" i="19"/>
  <c r="I129" i="19"/>
  <c r="I130" i="19"/>
  <c r="I131" i="19"/>
  <c r="I132" i="19"/>
  <c r="I133" i="19"/>
  <c r="I134" i="19"/>
  <c r="I135" i="19"/>
  <c r="I136" i="19"/>
  <c r="I137" i="19"/>
  <c r="I138" i="19"/>
  <c r="I139" i="19"/>
  <c r="I140" i="19"/>
  <c r="I141" i="19"/>
  <c r="I142" i="19"/>
  <c r="I143" i="19"/>
  <c r="I144" i="19"/>
  <c r="I145" i="19"/>
  <c r="I146" i="19"/>
  <c r="I147" i="19"/>
  <c r="I148" i="19"/>
  <c r="I149" i="19"/>
  <c r="I150" i="19"/>
  <c r="I151" i="19"/>
  <c r="I152" i="19"/>
  <c r="I153" i="19"/>
  <c r="I154" i="19"/>
  <c r="I155" i="19"/>
  <c r="I156" i="19"/>
  <c r="I157" i="19"/>
  <c r="I158" i="19"/>
  <c r="I159" i="19"/>
  <c r="I160" i="19"/>
  <c r="I161" i="19"/>
  <c r="I162" i="19"/>
  <c r="I163" i="19"/>
  <c r="I164" i="19"/>
  <c r="I165" i="19"/>
  <c r="I166" i="19"/>
  <c r="I167" i="19"/>
  <c r="I168" i="19"/>
  <c r="I169" i="19"/>
  <c r="I170" i="19"/>
  <c r="I171" i="19"/>
  <c r="I172" i="19"/>
  <c r="I173" i="19"/>
  <c r="I174" i="19"/>
  <c r="I175" i="19"/>
  <c r="I176" i="19"/>
  <c r="I177" i="19"/>
  <c r="I178" i="19"/>
  <c r="I179" i="19"/>
  <c r="I180" i="19"/>
  <c r="I181" i="19"/>
  <c r="I182" i="19"/>
  <c r="I183" i="19"/>
  <c r="I184" i="19"/>
  <c r="I185" i="19"/>
  <c r="I186" i="19"/>
  <c r="I187" i="19"/>
  <c r="I188" i="19"/>
  <c r="I189" i="19"/>
  <c r="I190" i="19"/>
  <c r="I191" i="19"/>
  <c r="I192" i="19"/>
  <c r="I193" i="19"/>
  <c r="I194" i="19"/>
  <c r="I195" i="19"/>
  <c r="I196" i="19"/>
  <c r="I197" i="19"/>
  <c r="I198" i="19"/>
  <c r="I199" i="19"/>
  <c r="I200" i="19"/>
  <c r="I201" i="19"/>
  <c r="I202" i="19"/>
  <c r="I203" i="19"/>
  <c r="I204" i="19"/>
  <c r="I205" i="19"/>
  <c r="I206" i="19"/>
  <c r="I207" i="19"/>
  <c r="I208" i="19"/>
  <c r="G110" i="19"/>
  <c r="G111" i="19"/>
  <c r="G112" i="19"/>
  <c r="G113" i="19"/>
  <c r="G114" i="19"/>
  <c r="G115" i="19"/>
  <c r="G116" i="19"/>
  <c r="G117" i="19"/>
  <c r="G118" i="19"/>
  <c r="G119" i="19"/>
  <c r="G120" i="19"/>
  <c r="G121" i="19"/>
  <c r="G122" i="19"/>
  <c r="G123" i="19"/>
  <c r="G124" i="19"/>
  <c r="G125" i="19"/>
  <c r="G126" i="19"/>
  <c r="G127" i="19"/>
  <c r="G128" i="19"/>
  <c r="G129" i="19"/>
  <c r="G130" i="19"/>
  <c r="G131" i="19"/>
  <c r="G132" i="19"/>
  <c r="G133" i="19"/>
  <c r="G134" i="19"/>
  <c r="G135" i="19"/>
  <c r="G136" i="19"/>
  <c r="G137" i="19"/>
  <c r="G138" i="19"/>
  <c r="G139" i="19"/>
  <c r="G140" i="19"/>
  <c r="G141" i="19"/>
  <c r="G142" i="19"/>
  <c r="G143" i="19"/>
  <c r="G144" i="19"/>
  <c r="G145" i="19"/>
  <c r="G146" i="19"/>
  <c r="G147" i="19"/>
  <c r="G148" i="19"/>
  <c r="G149" i="19"/>
  <c r="G150" i="19"/>
  <c r="G151" i="19"/>
  <c r="G152" i="19"/>
  <c r="G153" i="19"/>
  <c r="G154" i="19"/>
  <c r="G155" i="19"/>
  <c r="G156" i="19"/>
  <c r="G157" i="19"/>
  <c r="G158" i="19"/>
  <c r="G159" i="19"/>
  <c r="G160" i="19"/>
  <c r="G161" i="19"/>
  <c r="G162" i="19"/>
  <c r="G163" i="19"/>
  <c r="G164" i="19"/>
  <c r="G165" i="19"/>
  <c r="G166" i="19"/>
  <c r="G167" i="19"/>
  <c r="G168" i="19"/>
  <c r="G169" i="19"/>
  <c r="G170" i="19"/>
  <c r="G171" i="19"/>
  <c r="G172" i="19"/>
  <c r="G173" i="19"/>
  <c r="G174" i="19"/>
  <c r="G175" i="19"/>
  <c r="G176" i="19"/>
  <c r="G177" i="19"/>
  <c r="G178" i="19"/>
  <c r="G179" i="19"/>
  <c r="G180" i="19"/>
  <c r="G181" i="19"/>
  <c r="G182" i="19"/>
  <c r="G183" i="19"/>
  <c r="G184" i="19"/>
  <c r="G185" i="19"/>
  <c r="G186" i="19"/>
  <c r="G187" i="19"/>
  <c r="G188" i="19"/>
  <c r="G189" i="19"/>
  <c r="G190" i="19"/>
  <c r="G191" i="19"/>
  <c r="G192" i="19"/>
  <c r="G193" i="19"/>
  <c r="G194" i="19"/>
  <c r="G195" i="19"/>
  <c r="G196" i="19"/>
  <c r="G197" i="19"/>
  <c r="G198" i="19"/>
  <c r="G199" i="19"/>
  <c r="G200" i="19"/>
  <c r="G201" i="19"/>
  <c r="G202" i="19"/>
  <c r="G203" i="19"/>
  <c r="G204" i="19"/>
  <c r="G205" i="19"/>
  <c r="G206" i="19"/>
  <c r="G207" i="19"/>
  <c r="G208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02" i="19"/>
  <c r="E203" i="19"/>
  <c r="E204" i="19"/>
  <c r="E205" i="19"/>
  <c r="E206" i="19"/>
  <c r="E207" i="19"/>
  <c r="E208" i="19"/>
  <c r="C110" i="19"/>
  <c r="C111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C128" i="19"/>
  <c r="C129" i="19"/>
  <c r="C130" i="19"/>
  <c r="C131" i="19"/>
  <c r="C132" i="19"/>
  <c r="C133" i="19"/>
  <c r="C134" i="19"/>
  <c r="C135" i="19"/>
  <c r="C136" i="19"/>
  <c r="C137" i="19"/>
  <c r="C138" i="19"/>
  <c r="C139" i="19"/>
  <c r="C140" i="19"/>
  <c r="C141" i="19"/>
  <c r="C142" i="19"/>
  <c r="C143" i="19"/>
  <c r="C144" i="19"/>
  <c r="C145" i="19"/>
  <c r="C146" i="19"/>
  <c r="C147" i="19"/>
  <c r="C148" i="19"/>
  <c r="C149" i="19"/>
  <c r="C150" i="19"/>
  <c r="C151" i="19"/>
  <c r="C152" i="19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165" i="19"/>
  <c r="C166" i="19"/>
  <c r="C167" i="19"/>
  <c r="C168" i="19"/>
  <c r="C169" i="19"/>
  <c r="C170" i="19"/>
  <c r="C171" i="19"/>
  <c r="C172" i="19"/>
  <c r="C173" i="19"/>
  <c r="C174" i="19"/>
  <c r="C175" i="19"/>
  <c r="C176" i="19"/>
  <c r="C177" i="19"/>
  <c r="C178" i="19"/>
  <c r="C179" i="19"/>
  <c r="C180" i="19"/>
  <c r="C181" i="19"/>
  <c r="C182" i="19"/>
  <c r="C183" i="19"/>
  <c r="C184" i="19"/>
  <c r="C185" i="19"/>
  <c r="C186" i="19"/>
  <c r="C187" i="19"/>
  <c r="C188" i="19"/>
  <c r="C189" i="19"/>
  <c r="C190" i="19"/>
  <c r="C191" i="19"/>
  <c r="C192" i="19"/>
  <c r="C193" i="19"/>
  <c r="C194" i="19"/>
  <c r="C195" i="19"/>
  <c r="C196" i="19"/>
  <c r="C197" i="19"/>
  <c r="C198" i="19"/>
  <c r="C199" i="19"/>
  <c r="C200" i="19"/>
  <c r="C201" i="19"/>
  <c r="C202" i="19"/>
  <c r="C203" i="19"/>
  <c r="C204" i="19"/>
  <c r="C205" i="19"/>
  <c r="C206" i="19"/>
  <c r="C207" i="19"/>
  <c r="C208" i="19"/>
  <c r="U109" i="19"/>
  <c r="S109" i="19"/>
  <c r="Q109" i="19"/>
  <c r="O109" i="19"/>
  <c r="M109" i="19"/>
  <c r="K109" i="19"/>
  <c r="I109" i="19"/>
  <c r="G109" i="19"/>
  <c r="E109" i="19"/>
  <c r="C109" i="19"/>
  <c r="U6" i="19"/>
  <c r="U7" i="19"/>
  <c r="U8" i="19"/>
  <c r="U9" i="19"/>
  <c r="U10" i="19"/>
  <c r="U11" i="19"/>
  <c r="U12" i="19"/>
  <c r="U13" i="19"/>
  <c r="U14" i="19"/>
  <c r="U15" i="19"/>
  <c r="U16" i="19"/>
  <c r="U17" i="19"/>
  <c r="U18" i="19"/>
  <c r="U19" i="19"/>
  <c r="U20" i="19"/>
  <c r="U21" i="19"/>
  <c r="U22" i="19"/>
  <c r="U23" i="19"/>
  <c r="U24" i="19"/>
  <c r="U25" i="19"/>
  <c r="U26" i="19"/>
  <c r="U27" i="19"/>
  <c r="U28" i="19"/>
  <c r="U29" i="19"/>
  <c r="U30" i="19"/>
  <c r="U31" i="19"/>
  <c r="U32" i="19"/>
  <c r="U33" i="19"/>
  <c r="U34" i="19"/>
  <c r="U35" i="19"/>
  <c r="U36" i="19"/>
  <c r="U37" i="19"/>
  <c r="U38" i="19"/>
  <c r="U39" i="19"/>
  <c r="U40" i="19"/>
  <c r="U41" i="19"/>
  <c r="U42" i="19"/>
  <c r="U43" i="19"/>
  <c r="U44" i="19"/>
  <c r="U45" i="19"/>
  <c r="U46" i="19"/>
  <c r="U47" i="19"/>
  <c r="U48" i="19"/>
  <c r="U49" i="19"/>
  <c r="U50" i="19"/>
  <c r="U51" i="19"/>
  <c r="U52" i="19"/>
  <c r="U53" i="19"/>
  <c r="U54" i="19"/>
  <c r="U55" i="19"/>
  <c r="U56" i="19"/>
  <c r="U57" i="19"/>
  <c r="U58" i="19"/>
  <c r="U59" i="19"/>
  <c r="U60" i="19"/>
  <c r="U61" i="19"/>
  <c r="U62" i="19"/>
  <c r="U63" i="19"/>
  <c r="U64" i="19"/>
  <c r="U65" i="19"/>
  <c r="U66" i="19"/>
  <c r="U67" i="19"/>
  <c r="U68" i="19"/>
  <c r="U69" i="19"/>
  <c r="U70" i="19"/>
  <c r="U71" i="19"/>
  <c r="U72" i="19"/>
  <c r="U73" i="19"/>
  <c r="U74" i="19"/>
  <c r="U75" i="19"/>
  <c r="U76" i="19"/>
  <c r="U77" i="19"/>
  <c r="U78" i="19"/>
  <c r="U79" i="19"/>
  <c r="U80" i="19"/>
  <c r="U81" i="19"/>
  <c r="U82" i="19"/>
  <c r="U83" i="19"/>
  <c r="U84" i="19"/>
  <c r="U85" i="19"/>
  <c r="U86" i="19"/>
  <c r="U87" i="19"/>
  <c r="U88" i="19"/>
  <c r="U89" i="19"/>
  <c r="U90" i="19"/>
  <c r="U91" i="19"/>
  <c r="U92" i="19"/>
  <c r="U93" i="19"/>
  <c r="U94" i="19"/>
  <c r="U95" i="19"/>
  <c r="U96" i="19"/>
  <c r="U97" i="19"/>
  <c r="U98" i="19"/>
  <c r="U99" i="19"/>
  <c r="U100" i="19"/>
  <c r="U101" i="19"/>
  <c r="U102" i="19"/>
  <c r="U103" i="19"/>
  <c r="U104" i="19"/>
  <c r="S6" i="19"/>
  <c r="S7" i="19"/>
  <c r="S8" i="19"/>
  <c r="S9" i="19"/>
  <c r="S10" i="19"/>
  <c r="S11" i="19"/>
  <c r="S12" i="19"/>
  <c r="S13" i="19"/>
  <c r="S14" i="19"/>
  <c r="S15" i="19"/>
  <c r="S16" i="19"/>
  <c r="S17" i="19"/>
  <c r="S18" i="19"/>
  <c r="S19" i="19"/>
  <c r="S20" i="19"/>
  <c r="S21" i="19"/>
  <c r="S22" i="19"/>
  <c r="S23" i="19"/>
  <c r="S24" i="19"/>
  <c r="S25" i="19"/>
  <c r="S26" i="19"/>
  <c r="S27" i="19"/>
  <c r="S28" i="19"/>
  <c r="S29" i="19"/>
  <c r="S30" i="19"/>
  <c r="S31" i="19"/>
  <c r="S32" i="19"/>
  <c r="S33" i="19"/>
  <c r="S34" i="19"/>
  <c r="S35" i="19"/>
  <c r="S36" i="19"/>
  <c r="S37" i="19"/>
  <c r="S38" i="19"/>
  <c r="S39" i="19"/>
  <c r="S40" i="19"/>
  <c r="S41" i="19"/>
  <c r="S42" i="19"/>
  <c r="S43" i="19"/>
  <c r="S44" i="19"/>
  <c r="S45" i="19"/>
  <c r="S46" i="19"/>
  <c r="S47" i="19"/>
  <c r="S48" i="19"/>
  <c r="S49" i="19"/>
  <c r="S50" i="19"/>
  <c r="S51" i="19"/>
  <c r="S52" i="19"/>
  <c r="S53" i="19"/>
  <c r="S54" i="19"/>
  <c r="S55" i="19"/>
  <c r="S56" i="19"/>
  <c r="S57" i="19"/>
  <c r="S58" i="19"/>
  <c r="S59" i="19"/>
  <c r="S60" i="19"/>
  <c r="S61" i="19"/>
  <c r="S62" i="19"/>
  <c r="S63" i="19"/>
  <c r="S64" i="19"/>
  <c r="S65" i="19"/>
  <c r="S66" i="19"/>
  <c r="S67" i="19"/>
  <c r="S68" i="19"/>
  <c r="S69" i="19"/>
  <c r="S70" i="19"/>
  <c r="S71" i="19"/>
  <c r="S72" i="19"/>
  <c r="S73" i="19"/>
  <c r="S74" i="19"/>
  <c r="S75" i="19"/>
  <c r="S76" i="19"/>
  <c r="S77" i="19"/>
  <c r="S78" i="19"/>
  <c r="S79" i="19"/>
  <c r="S80" i="19"/>
  <c r="S81" i="19"/>
  <c r="S82" i="19"/>
  <c r="S83" i="19"/>
  <c r="S84" i="19"/>
  <c r="S85" i="19"/>
  <c r="S86" i="19"/>
  <c r="S87" i="19"/>
  <c r="S88" i="19"/>
  <c r="S89" i="19"/>
  <c r="S90" i="19"/>
  <c r="S91" i="19"/>
  <c r="S92" i="19"/>
  <c r="S93" i="19"/>
  <c r="S94" i="19"/>
  <c r="S95" i="19"/>
  <c r="S96" i="19"/>
  <c r="S97" i="19"/>
  <c r="S98" i="19"/>
  <c r="S99" i="19"/>
  <c r="S100" i="19"/>
  <c r="S101" i="19"/>
  <c r="S102" i="19"/>
  <c r="S103" i="19"/>
  <c r="S104" i="19"/>
  <c r="S5" i="19"/>
  <c r="Q6" i="19"/>
  <c r="Q7" i="19"/>
  <c r="Q8" i="19"/>
  <c r="Q9" i="19"/>
  <c r="Q10" i="19"/>
  <c r="Q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57" i="19"/>
  <c r="Q58" i="19"/>
  <c r="Q59" i="19"/>
  <c r="Q60" i="19"/>
  <c r="Q61" i="19"/>
  <c r="Q62" i="19"/>
  <c r="Q63" i="19"/>
  <c r="Q64" i="19"/>
  <c r="Q65" i="19"/>
  <c r="Q66" i="19"/>
  <c r="Q67" i="19"/>
  <c r="Q68" i="19"/>
  <c r="Q69" i="19"/>
  <c r="Q70" i="19"/>
  <c r="Q71" i="19"/>
  <c r="Q72" i="19"/>
  <c r="Q73" i="19"/>
  <c r="Q74" i="19"/>
  <c r="Q75" i="19"/>
  <c r="Q76" i="19"/>
  <c r="Q77" i="19"/>
  <c r="Q78" i="19"/>
  <c r="Q79" i="19"/>
  <c r="Q80" i="19"/>
  <c r="Q81" i="19"/>
  <c r="Q82" i="19"/>
  <c r="Q83" i="19"/>
  <c r="Q84" i="19"/>
  <c r="Q85" i="19"/>
  <c r="Q86" i="19"/>
  <c r="Q87" i="19"/>
  <c r="Q88" i="19"/>
  <c r="Q89" i="19"/>
  <c r="Q90" i="19"/>
  <c r="Q91" i="19"/>
  <c r="Q92" i="19"/>
  <c r="Q93" i="19"/>
  <c r="Q94" i="19"/>
  <c r="Q95" i="19"/>
  <c r="Q96" i="19"/>
  <c r="Q97" i="19"/>
  <c r="Q98" i="19"/>
  <c r="Q99" i="19"/>
  <c r="Q100" i="19"/>
  <c r="Q101" i="19"/>
  <c r="Q102" i="19"/>
  <c r="Q103" i="19"/>
  <c r="Q104" i="19"/>
  <c r="O6" i="19"/>
  <c r="O7" i="19"/>
  <c r="O8" i="19"/>
  <c r="O9" i="19"/>
  <c r="O10" i="19"/>
  <c r="O11" i="19"/>
  <c r="O12" i="19"/>
  <c r="O13" i="19"/>
  <c r="O14" i="19"/>
  <c r="O15" i="19"/>
  <c r="O16" i="19"/>
  <c r="O17" i="19"/>
  <c r="O18" i="19"/>
  <c r="O19" i="19"/>
  <c r="O20" i="19"/>
  <c r="O21" i="19"/>
  <c r="O22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93" i="19"/>
  <c r="O94" i="19"/>
  <c r="O95" i="19"/>
  <c r="O96" i="19"/>
  <c r="O97" i="19"/>
  <c r="O98" i="19"/>
  <c r="O99" i="19"/>
  <c r="O100" i="19"/>
  <c r="O101" i="19"/>
  <c r="O102" i="19"/>
  <c r="O103" i="19"/>
  <c r="O104" i="19"/>
  <c r="M6" i="19"/>
  <c r="M7" i="19"/>
  <c r="M8" i="19"/>
  <c r="M9" i="19"/>
  <c r="M10" i="19"/>
  <c r="M11" i="19"/>
  <c r="M12" i="19"/>
  <c r="M13" i="19"/>
  <c r="M14" i="19"/>
  <c r="M15" i="19"/>
  <c r="M16" i="19"/>
  <c r="M17" i="19"/>
  <c r="M18" i="19"/>
  <c r="M19" i="19"/>
  <c r="M20" i="19"/>
  <c r="M21" i="19"/>
  <c r="M22" i="19"/>
  <c r="M23" i="19"/>
  <c r="M24" i="19"/>
  <c r="M25" i="19"/>
  <c r="M26" i="19"/>
  <c r="M27" i="19"/>
  <c r="M28" i="19"/>
  <c r="M29" i="19"/>
  <c r="M30" i="19"/>
  <c r="M31" i="19"/>
  <c r="M32" i="19"/>
  <c r="M33" i="19"/>
  <c r="M34" i="19"/>
  <c r="M35" i="19"/>
  <c r="M36" i="19"/>
  <c r="M37" i="19"/>
  <c r="M38" i="19"/>
  <c r="M39" i="19"/>
  <c r="M40" i="19"/>
  <c r="M41" i="19"/>
  <c r="M42" i="19"/>
  <c r="M43" i="19"/>
  <c r="M44" i="19"/>
  <c r="M45" i="19"/>
  <c r="M46" i="19"/>
  <c r="M47" i="19"/>
  <c r="M48" i="19"/>
  <c r="M49" i="19"/>
  <c r="M50" i="19"/>
  <c r="M51" i="19"/>
  <c r="M52" i="19"/>
  <c r="M53" i="19"/>
  <c r="M54" i="19"/>
  <c r="M55" i="19"/>
  <c r="M56" i="19"/>
  <c r="M57" i="19"/>
  <c r="M58" i="19"/>
  <c r="M59" i="19"/>
  <c r="M60" i="19"/>
  <c r="M61" i="19"/>
  <c r="M62" i="19"/>
  <c r="M63" i="19"/>
  <c r="M64" i="19"/>
  <c r="M65" i="19"/>
  <c r="M66" i="19"/>
  <c r="M67" i="19"/>
  <c r="M68" i="19"/>
  <c r="M69" i="19"/>
  <c r="M70" i="19"/>
  <c r="M71" i="19"/>
  <c r="M72" i="19"/>
  <c r="M73" i="19"/>
  <c r="M74" i="19"/>
  <c r="M75" i="19"/>
  <c r="M76" i="19"/>
  <c r="M77" i="19"/>
  <c r="M78" i="19"/>
  <c r="M79" i="19"/>
  <c r="M80" i="19"/>
  <c r="M81" i="19"/>
  <c r="M82" i="19"/>
  <c r="M83" i="19"/>
  <c r="M84" i="19"/>
  <c r="M85" i="19"/>
  <c r="M86" i="19"/>
  <c r="M87" i="19"/>
  <c r="M88" i="19"/>
  <c r="M89" i="19"/>
  <c r="M90" i="19"/>
  <c r="M91" i="19"/>
  <c r="M92" i="19"/>
  <c r="M93" i="19"/>
  <c r="M94" i="19"/>
  <c r="M95" i="19"/>
  <c r="M96" i="19"/>
  <c r="M97" i="19"/>
  <c r="M98" i="19"/>
  <c r="M99" i="19"/>
  <c r="M100" i="19"/>
  <c r="M101" i="19"/>
  <c r="M102" i="19"/>
  <c r="M103" i="19"/>
  <c r="M104" i="19"/>
  <c r="K6" i="19"/>
  <c r="K7" i="19"/>
  <c r="K8" i="19"/>
  <c r="K9" i="19"/>
  <c r="K10" i="19"/>
  <c r="K11" i="19"/>
  <c r="K12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I6" i="19"/>
  <c r="I7" i="19"/>
  <c r="I8" i="19"/>
  <c r="I9" i="19"/>
  <c r="I10" i="19"/>
  <c r="I11" i="19"/>
  <c r="I12" i="19"/>
  <c r="I13" i="19"/>
  <c r="I14" i="19"/>
  <c r="I15" i="19"/>
  <c r="I16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40" i="19"/>
  <c r="I41" i="19"/>
  <c r="I42" i="19"/>
  <c r="I43" i="19"/>
  <c r="I44" i="19"/>
  <c r="I45" i="19"/>
  <c r="I46" i="19"/>
  <c r="I47" i="19"/>
  <c r="I48" i="19"/>
  <c r="I49" i="19"/>
  <c r="I50" i="19"/>
  <c r="I51" i="19"/>
  <c r="I52" i="19"/>
  <c r="I53" i="19"/>
  <c r="I54" i="19"/>
  <c r="I55" i="19"/>
  <c r="I56" i="19"/>
  <c r="I57" i="19"/>
  <c r="I58" i="19"/>
  <c r="I59" i="19"/>
  <c r="I60" i="19"/>
  <c r="I61" i="19"/>
  <c r="I62" i="19"/>
  <c r="I63" i="19"/>
  <c r="I64" i="19"/>
  <c r="I65" i="19"/>
  <c r="I66" i="19"/>
  <c r="I67" i="19"/>
  <c r="I68" i="19"/>
  <c r="I69" i="19"/>
  <c r="I70" i="19"/>
  <c r="I71" i="19"/>
  <c r="I72" i="19"/>
  <c r="I73" i="19"/>
  <c r="I74" i="19"/>
  <c r="I75" i="19"/>
  <c r="I76" i="19"/>
  <c r="I77" i="19"/>
  <c r="I78" i="19"/>
  <c r="I79" i="19"/>
  <c r="I80" i="19"/>
  <c r="I81" i="19"/>
  <c r="I82" i="19"/>
  <c r="I83" i="19"/>
  <c r="I84" i="19"/>
  <c r="I85" i="19"/>
  <c r="I86" i="19"/>
  <c r="I87" i="19"/>
  <c r="I88" i="19"/>
  <c r="I89" i="19"/>
  <c r="I90" i="19"/>
  <c r="I91" i="19"/>
  <c r="I92" i="19"/>
  <c r="I93" i="19"/>
  <c r="I94" i="19"/>
  <c r="I95" i="19"/>
  <c r="I96" i="19"/>
  <c r="I97" i="19"/>
  <c r="I98" i="19"/>
  <c r="I99" i="19"/>
  <c r="I100" i="19"/>
  <c r="I101" i="19"/>
  <c r="I102" i="19"/>
  <c r="I103" i="19"/>
  <c r="I104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U5" i="19"/>
  <c r="Q5" i="19"/>
  <c r="O5" i="19"/>
  <c r="M5" i="19"/>
  <c r="K5" i="19"/>
  <c r="I5" i="19"/>
  <c r="G5" i="19"/>
  <c r="E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C102" i="19"/>
  <c r="C103" i="19"/>
  <c r="C104" i="19"/>
  <c r="C5" i="19"/>
  <c r="U20" i="20"/>
  <c r="U21" i="20"/>
  <c r="U22" i="20"/>
  <c r="U23" i="20"/>
  <c r="U24" i="20"/>
  <c r="U25" i="20"/>
  <c r="U26" i="20"/>
  <c r="U27" i="20"/>
  <c r="U28" i="20"/>
  <c r="S20" i="20"/>
  <c r="S21" i="20"/>
  <c r="S22" i="20"/>
  <c r="S23" i="20"/>
  <c r="S24" i="20"/>
  <c r="S25" i="20"/>
  <c r="S26" i="20"/>
  <c r="S27" i="20"/>
  <c r="S28" i="20"/>
  <c r="Q20" i="20"/>
  <c r="Q21" i="20"/>
  <c r="Q22" i="20"/>
  <c r="Q23" i="20"/>
  <c r="Q24" i="20"/>
  <c r="Q25" i="20"/>
  <c r="Q26" i="20"/>
  <c r="Q27" i="20"/>
  <c r="Q28" i="20"/>
  <c r="O20" i="20"/>
  <c r="O21" i="20"/>
  <c r="O22" i="20"/>
  <c r="O23" i="20"/>
  <c r="O24" i="20"/>
  <c r="O25" i="20"/>
  <c r="O26" i="20"/>
  <c r="O27" i="20"/>
  <c r="O28" i="20"/>
  <c r="M20" i="20"/>
  <c r="M21" i="20"/>
  <c r="M22" i="20"/>
  <c r="M23" i="20"/>
  <c r="M24" i="20"/>
  <c r="M25" i="20"/>
  <c r="M26" i="20"/>
  <c r="M27" i="20"/>
  <c r="M28" i="20"/>
  <c r="K20" i="20"/>
  <c r="K21" i="20"/>
  <c r="K22" i="20"/>
  <c r="K23" i="20"/>
  <c r="K24" i="20"/>
  <c r="K25" i="20"/>
  <c r="K26" i="20"/>
  <c r="K27" i="20"/>
  <c r="K28" i="20"/>
  <c r="I20" i="20"/>
  <c r="I21" i="20"/>
  <c r="I22" i="20"/>
  <c r="I23" i="20"/>
  <c r="I24" i="20"/>
  <c r="I25" i="20"/>
  <c r="I26" i="20"/>
  <c r="I27" i="20"/>
  <c r="I28" i="20"/>
  <c r="G20" i="20"/>
  <c r="G21" i="20"/>
  <c r="G22" i="20"/>
  <c r="G23" i="20"/>
  <c r="G24" i="20"/>
  <c r="G25" i="20"/>
  <c r="G26" i="20"/>
  <c r="G27" i="20"/>
  <c r="G28" i="20"/>
  <c r="E20" i="20"/>
  <c r="E21" i="20"/>
  <c r="E22" i="20"/>
  <c r="E23" i="20"/>
  <c r="E24" i="20"/>
  <c r="E25" i="20"/>
  <c r="E26" i="20"/>
  <c r="E27" i="20"/>
  <c r="E28" i="20"/>
  <c r="U19" i="20"/>
  <c r="S19" i="20"/>
  <c r="Q19" i="20"/>
  <c r="O19" i="20"/>
  <c r="M19" i="20"/>
  <c r="K19" i="20"/>
  <c r="I19" i="20"/>
  <c r="G19" i="20"/>
  <c r="E19" i="20"/>
  <c r="C22" i="20"/>
  <c r="C23" i="20"/>
  <c r="C24" i="20"/>
  <c r="C25" i="20"/>
  <c r="C26" i="20"/>
  <c r="C27" i="20"/>
  <c r="C28" i="20"/>
  <c r="C21" i="20"/>
  <c r="C20" i="20"/>
  <c r="C19" i="20"/>
  <c r="U6" i="20"/>
  <c r="U7" i="20"/>
  <c r="U8" i="20"/>
  <c r="U9" i="20"/>
  <c r="U10" i="20"/>
  <c r="U11" i="20"/>
  <c r="U12" i="20"/>
  <c r="U13" i="20"/>
  <c r="U14" i="20"/>
  <c r="S6" i="20"/>
  <c r="S7" i="20"/>
  <c r="S8" i="20"/>
  <c r="S9" i="20"/>
  <c r="S10" i="20"/>
  <c r="S11" i="20"/>
  <c r="S12" i="20"/>
  <c r="S13" i="20"/>
  <c r="S14" i="20"/>
  <c r="Q6" i="20"/>
  <c r="Q7" i="20"/>
  <c r="Q8" i="20"/>
  <c r="Q9" i="20"/>
  <c r="Q10" i="20"/>
  <c r="Q11" i="20"/>
  <c r="Q12" i="20"/>
  <c r="Q13" i="20"/>
  <c r="Q14" i="20"/>
  <c r="O6" i="20"/>
  <c r="O7" i="20"/>
  <c r="O8" i="20"/>
  <c r="O9" i="20"/>
  <c r="O10" i="20"/>
  <c r="O11" i="20"/>
  <c r="O12" i="20"/>
  <c r="O13" i="20"/>
  <c r="O14" i="20"/>
  <c r="M6" i="20"/>
  <c r="M7" i="20"/>
  <c r="M8" i="20"/>
  <c r="M9" i="20"/>
  <c r="M10" i="20"/>
  <c r="M11" i="20"/>
  <c r="M12" i="20"/>
  <c r="M13" i="20"/>
  <c r="M14" i="20"/>
  <c r="K6" i="20"/>
  <c r="K7" i="20"/>
  <c r="K8" i="20"/>
  <c r="K9" i="20"/>
  <c r="K10" i="20"/>
  <c r="K11" i="20"/>
  <c r="K12" i="20"/>
  <c r="K13" i="20"/>
  <c r="K14" i="20"/>
  <c r="I6" i="20"/>
  <c r="I7" i="20"/>
  <c r="I8" i="20"/>
  <c r="I9" i="20"/>
  <c r="I10" i="20"/>
  <c r="I11" i="20"/>
  <c r="I12" i="20"/>
  <c r="I13" i="20"/>
  <c r="I14" i="20"/>
  <c r="U5" i="20"/>
  <c r="S5" i="20"/>
  <c r="Q5" i="20"/>
  <c r="O5" i="20"/>
  <c r="M5" i="20"/>
  <c r="K5" i="20"/>
  <c r="I5" i="20"/>
  <c r="G6" i="20"/>
  <c r="G7" i="20"/>
  <c r="G8" i="20"/>
  <c r="G9" i="20"/>
  <c r="G10" i="20"/>
  <c r="G11" i="20"/>
  <c r="G12" i="20"/>
  <c r="G13" i="20"/>
  <c r="G14" i="20"/>
  <c r="G5" i="20"/>
  <c r="E6" i="20"/>
  <c r="E7" i="20"/>
  <c r="E8" i="20"/>
  <c r="E9" i="20"/>
  <c r="E10" i="20"/>
  <c r="E11" i="20"/>
  <c r="E12" i="20"/>
  <c r="E13" i="20"/>
  <c r="E14" i="20"/>
  <c r="E5" i="20"/>
  <c r="C6" i="20"/>
  <c r="C7" i="20"/>
  <c r="C8" i="20"/>
  <c r="C9" i="20"/>
  <c r="C10" i="20"/>
  <c r="C11" i="20"/>
  <c r="C12" i="20"/>
  <c r="C13" i="20"/>
  <c r="C14" i="20"/>
  <c r="C5" i="20"/>
  <c r="C1" i="1"/>
  <c r="E7" i="21" s="1"/>
  <c r="E22" i="21" s="1"/>
  <c r="G2" i="4"/>
  <c r="E211" i="19" s="1"/>
  <c r="D2" i="4"/>
  <c r="E107" i="19" s="1"/>
  <c r="C2" i="4"/>
  <c r="E3" i="19" s="1"/>
  <c r="G2" i="2"/>
  <c r="C2" i="2"/>
  <c r="E1" i="1" l="1"/>
  <c r="E25" i="21" s="1"/>
  <c r="E27" i="21" s="1"/>
  <c r="F1" i="1"/>
  <c r="J2" i="4"/>
  <c r="G1" i="19" s="1"/>
  <c r="E3" i="20"/>
  <c r="J2" i="2"/>
  <c r="E17" i="20"/>
  <c r="G1" i="20" l="1"/>
</calcChain>
</file>

<file path=xl/sharedStrings.xml><?xml version="1.0" encoding="utf-8"?>
<sst xmlns="http://schemas.openxmlformats.org/spreadsheetml/2006/main" count="1459" uniqueCount="48">
  <si>
    <t>Customer ID</t>
  </si>
  <si>
    <t>Name</t>
  </si>
  <si>
    <t>Lotto No.</t>
  </si>
  <si>
    <t>Lotto list (2-Digit)</t>
  </si>
  <si>
    <t>2-Digit Lotto Table</t>
  </si>
  <si>
    <t>3-Digit Lotto Table</t>
  </si>
  <si>
    <t>Customer List</t>
  </si>
  <si>
    <t>Customer name</t>
  </si>
  <si>
    <t>Main</t>
  </si>
  <si>
    <t>Top</t>
  </si>
  <si>
    <t>Down</t>
  </si>
  <si>
    <t>Top/Down</t>
  </si>
  <si>
    <t>Sim</t>
  </si>
  <si>
    <t>Lotto list (3-Digit)</t>
  </si>
  <si>
    <t>Discount</t>
  </si>
  <si>
    <t>Discount(%)</t>
  </si>
  <si>
    <t>Main/Sim</t>
  </si>
  <si>
    <t>Total</t>
  </si>
  <si>
    <t>Total 3-Digit Lotto</t>
  </si>
  <si>
    <t>Total 2-Digit Lotto</t>
  </si>
  <si>
    <t>Total of Top - Main</t>
  </si>
  <si>
    <t>Total of Down - Main</t>
  </si>
  <si>
    <t>Total of Top - Similar</t>
  </si>
  <si>
    <t>2-Digit Heat maps</t>
  </si>
  <si>
    <t>3-Digit Heat maps</t>
  </si>
  <si>
    <t>Total of Top</t>
  </si>
  <si>
    <t>Total of Down</t>
  </si>
  <si>
    <t>Sale(THB)</t>
  </si>
  <si>
    <t>Income</t>
  </si>
  <si>
    <t>Sale (THB)</t>
  </si>
  <si>
    <t>Income statement</t>
  </si>
  <si>
    <t>Sale Revenue</t>
  </si>
  <si>
    <t>COGs:</t>
  </si>
  <si>
    <t>Gross Profit</t>
  </si>
  <si>
    <t>Operating expense</t>
  </si>
  <si>
    <t>Total COGs</t>
  </si>
  <si>
    <t>Net Income</t>
  </si>
  <si>
    <t>For 30 December 2021</t>
  </si>
  <si>
    <t>2-Digit Top-Main prize</t>
  </si>
  <si>
    <t>2-Digit Down-Main prize</t>
  </si>
  <si>
    <t>3-Digit Top-Main prize</t>
  </si>
  <si>
    <t>3-Digit Top-Sim prize</t>
  </si>
  <si>
    <t>3-Digit Down-Main prize</t>
  </si>
  <si>
    <t>2-Digit Down-Main sale</t>
  </si>
  <si>
    <t>2-Digit Top-Main sale</t>
  </si>
  <si>
    <t>3-Digit Top-Main Sale</t>
  </si>
  <si>
    <t>3-Digit Top-Sim Sale</t>
  </si>
  <si>
    <t>3-Digit Down-Main Sale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</si>
</sst>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00"/>
    <numFmt numFmtId="165" formatCode="00"/>
    <numFmt numFmtId="166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20"/>
      <color theme="1"/>
      <name val="Times New Roman"/>
      <family val="1"/>
    </font>
    <font>
      <sz val="8"/>
      <name val="Calibri"/>
      <family val="2"/>
      <scheme val="minor"/>
    </font>
    <font>
      <sz val="11"/>
      <color theme="1"/>
      <name val="Times New Roman"/>
      <family val="1"/>
    </font>
    <font>
      <b/>
      <sz val="24"/>
      <color theme="1"/>
      <name val="Times New Roman"/>
      <family val="1"/>
    </font>
    <font>
      <b/>
      <sz val="16"/>
      <color rgb="FF000000"/>
      <name val="Times New Roman"/>
      <family val="1"/>
    </font>
    <font>
      <b/>
      <sz val="20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Calibri"/>
      <family val="2"/>
      <scheme val="minor"/>
    </font>
    <font>
      <b/>
      <u val="singleAccounting"/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11" fillId="0" borderId="0" applyFont="0" applyFill="0" applyBorder="0" applyAlignment="0" applyProtection="0"/>
  </cellStyleXfs>
  <cellXfs count="71">
    <xf numFmtId="0" fontId="0" fillId="0" borderId="0" xfId="0"/>
    <xf numFmtId="0" fontId="1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/>
    <xf numFmtId="164" fontId="1" fillId="0" borderId="1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165" fontId="1" fillId="0" borderId="8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64" fontId="1" fillId="0" borderId="8" xfId="0" applyNumberFormat="1" applyFont="1" applyBorder="1" applyAlignment="1">
      <alignment horizont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165" fontId="1" fillId="0" borderId="1" xfId="0" applyNumberFormat="1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10" xfId="0" applyNumberFormat="1" applyFont="1" applyBorder="1" applyAlignment="1">
      <alignment horizontal="center" vertical="center"/>
    </xf>
    <xf numFmtId="164" fontId="2" fillId="0" borderId="11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2" fillId="0" borderId="10" xfId="0" applyNumberFormat="1" applyFont="1" applyBorder="1" applyAlignment="1">
      <alignment horizontal="center" vertical="center"/>
    </xf>
    <xf numFmtId="165" fontId="2" fillId="0" borderId="11" xfId="0" applyNumberFormat="1" applyFont="1" applyBorder="1" applyAlignment="1">
      <alignment horizontal="center" vertical="center"/>
    </xf>
    <xf numFmtId="165" fontId="2" fillId="0" borderId="1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65" fontId="1" fillId="0" borderId="11" xfId="0" applyNumberFormat="1" applyFont="1" applyBorder="1" applyAlignment="1">
      <alignment horizontal="center" vertical="center"/>
    </xf>
    <xf numFmtId="165" fontId="1" fillId="0" borderId="1" xfId="0" applyNumberFormat="1" applyFont="1" applyFill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center" indent="2"/>
    </xf>
    <xf numFmtId="166" fontId="1" fillId="0" borderId="0" xfId="1" applyNumberFormat="1" applyFont="1" applyBorder="1" applyAlignment="1">
      <alignment horizontal="center" vertical="center"/>
    </xf>
    <xf numFmtId="166" fontId="2" fillId="0" borderId="0" xfId="1" applyNumberFormat="1" applyFont="1" applyBorder="1" applyAlignment="1">
      <alignment horizontal="center" vertical="center"/>
    </xf>
    <xf numFmtId="43" fontId="1" fillId="0" borderId="0" xfId="1" applyNumberFormat="1" applyFont="1" applyBorder="1" applyAlignment="1">
      <alignment horizontal="center" vertical="center"/>
    </xf>
    <xf numFmtId="43" fontId="12" fillId="0" borderId="0" xfId="1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left" vertical="center" indent="2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Comma" xfId="1" builtinId="3"/>
    <cellStyle name="Normal" xfId="0" builtinId="0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0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5" formatCode="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NZ" sz="1600" b="1"/>
              <a:t>2-Digit Top Performance (Main)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'2-Digit Lotto Table'!$B$5:$B$104</c:f>
              <c:numCache>
                <c:formatCode>00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'2-Digit Lotto Table'!$C$5:$C$104</c:f>
              <c:numCache>
                <c:formatCode>General</c:formatCode>
                <c:ptCount val="100"/>
                <c:pt idx="0">
                  <c:v>50</c:v>
                </c:pt>
                <c:pt idx="1">
                  <c:v>50</c:v>
                </c:pt>
                <c:pt idx="2">
                  <c:v>10</c:v>
                </c:pt>
                <c:pt idx="3">
                  <c:v>90</c:v>
                </c:pt>
                <c:pt idx="4">
                  <c:v>40</c:v>
                </c:pt>
                <c:pt idx="5">
                  <c:v>360</c:v>
                </c:pt>
                <c:pt idx="7">
                  <c:v>120</c:v>
                </c:pt>
                <c:pt idx="8">
                  <c:v>50</c:v>
                </c:pt>
                <c:pt idx="9">
                  <c:v>75</c:v>
                </c:pt>
                <c:pt idx="10">
                  <c:v>50</c:v>
                </c:pt>
                <c:pt idx="11">
                  <c:v>130</c:v>
                </c:pt>
                <c:pt idx="12">
                  <c:v>100</c:v>
                </c:pt>
                <c:pt idx="13">
                  <c:v>80</c:v>
                </c:pt>
                <c:pt idx="14">
                  <c:v>190</c:v>
                </c:pt>
                <c:pt idx="15">
                  <c:v>480</c:v>
                </c:pt>
                <c:pt idx="16">
                  <c:v>220</c:v>
                </c:pt>
                <c:pt idx="17">
                  <c:v>610</c:v>
                </c:pt>
                <c:pt idx="18">
                  <c:v>440</c:v>
                </c:pt>
                <c:pt idx="19">
                  <c:v>800</c:v>
                </c:pt>
                <c:pt idx="20">
                  <c:v>10</c:v>
                </c:pt>
                <c:pt idx="21">
                  <c:v>180</c:v>
                </c:pt>
                <c:pt idx="22">
                  <c:v>110</c:v>
                </c:pt>
                <c:pt idx="23">
                  <c:v>850</c:v>
                </c:pt>
                <c:pt idx="24">
                  <c:v>580</c:v>
                </c:pt>
                <c:pt idx="25">
                  <c:v>2100</c:v>
                </c:pt>
                <c:pt idx="26">
                  <c:v>350</c:v>
                </c:pt>
                <c:pt idx="27">
                  <c:v>500</c:v>
                </c:pt>
                <c:pt idx="28">
                  <c:v>20</c:v>
                </c:pt>
                <c:pt idx="29">
                  <c:v>730</c:v>
                </c:pt>
                <c:pt idx="30">
                  <c:v>140</c:v>
                </c:pt>
                <c:pt idx="31">
                  <c:v>110</c:v>
                </c:pt>
                <c:pt idx="32">
                  <c:v>730</c:v>
                </c:pt>
                <c:pt idx="33">
                  <c:v>100</c:v>
                </c:pt>
                <c:pt idx="34">
                  <c:v>400</c:v>
                </c:pt>
                <c:pt idx="35">
                  <c:v>250</c:v>
                </c:pt>
                <c:pt idx="36">
                  <c:v>120</c:v>
                </c:pt>
                <c:pt idx="37">
                  <c:v>520</c:v>
                </c:pt>
                <c:pt idx="38">
                  <c:v>60</c:v>
                </c:pt>
                <c:pt idx="39">
                  <c:v>900</c:v>
                </c:pt>
                <c:pt idx="40">
                  <c:v>40</c:v>
                </c:pt>
                <c:pt idx="41">
                  <c:v>170</c:v>
                </c:pt>
                <c:pt idx="42">
                  <c:v>330</c:v>
                </c:pt>
                <c:pt idx="43">
                  <c:v>400</c:v>
                </c:pt>
                <c:pt idx="45">
                  <c:v>440</c:v>
                </c:pt>
                <c:pt idx="46">
                  <c:v>160</c:v>
                </c:pt>
                <c:pt idx="47">
                  <c:v>480</c:v>
                </c:pt>
                <c:pt idx="48">
                  <c:v>400</c:v>
                </c:pt>
                <c:pt idx="49">
                  <c:v>40</c:v>
                </c:pt>
                <c:pt idx="50">
                  <c:v>110</c:v>
                </c:pt>
                <c:pt idx="51">
                  <c:v>290</c:v>
                </c:pt>
                <c:pt idx="52">
                  <c:v>870</c:v>
                </c:pt>
                <c:pt idx="53">
                  <c:v>200</c:v>
                </c:pt>
                <c:pt idx="54">
                  <c:v>340</c:v>
                </c:pt>
                <c:pt idx="55">
                  <c:v>200</c:v>
                </c:pt>
                <c:pt idx="56">
                  <c:v>310</c:v>
                </c:pt>
                <c:pt idx="57">
                  <c:v>790</c:v>
                </c:pt>
                <c:pt idx="58">
                  <c:v>1540</c:v>
                </c:pt>
                <c:pt idx="59">
                  <c:v>650</c:v>
                </c:pt>
                <c:pt idx="61">
                  <c:v>250</c:v>
                </c:pt>
                <c:pt idx="62">
                  <c:v>350</c:v>
                </c:pt>
                <c:pt idx="63">
                  <c:v>120</c:v>
                </c:pt>
                <c:pt idx="64">
                  <c:v>160</c:v>
                </c:pt>
                <c:pt idx="65">
                  <c:v>210</c:v>
                </c:pt>
                <c:pt idx="66">
                  <c:v>100</c:v>
                </c:pt>
                <c:pt idx="67">
                  <c:v>230</c:v>
                </c:pt>
                <c:pt idx="68">
                  <c:v>250</c:v>
                </c:pt>
                <c:pt idx="69">
                  <c:v>70</c:v>
                </c:pt>
                <c:pt idx="70">
                  <c:v>120</c:v>
                </c:pt>
                <c:pt idx="71">
                  <c:v>290</c:v>
                </c:pt>
                <c:pt idx="72">
                  <c:v>550</c:v>
                </c:pt>
                <c:pt idx="73">
                  <c:v>460</c:v>
                </c:pt>
                <c:pt idx="74">
                  <c:v>530</c:v>
                </c:pt>
                <c:pt idx="75">
                  <c:v>840</c:v>
                </c:pt>
                <c:pt idx="76">
                  <c:v>230</c:v>
                </c:pt>
                <c:pt idx="78">
                  <c:v>1190</c:v>
                </c:pt>
                <c:pt idx="79">
                  <c:v>240</c:v>
                </c:pt>
                <c:pt idx="80">
                  <c:v>30</c:v>
                </c:pt>
                <c:pt idx="81">
                  <c:v>470</c:v>
                </c:pt>
                <c:pt idx="82">
                  <c:v>20</c:v>
                </c:pt>
                <c:pt idx="84">
                  <c:v>370</c:v>
                </c:pt>
                <c:pt idx="85">
                  <c:v>1240</c:v>
                </c:pt>
                <c:pt idx="86">
                  <c:v>250</c:v>
                </c:pt>
                <c:pt idx="87">
                  <c:v>790</c:v>
                </c:pt>
                <c:pt idx="88">
                  <c:v>170</c:v>
                </c:pt>
                <c:pt idx="89">
                  <c:v>90</c:v>
                </c:pt>
                <c:pt idx="90">
                  <c:v>75</c:v>
                </c:pt>
                <c:pt idx="91">
                  <c:v>650</c:v>
                </c:pt>
                <c:pt idx="92">
                  <c:v>2630</c:v>
                </c:pt>
                <c:pt idx="93">
                  <c:v>800</c:v>
                </c:pt>
                <c:pt idx="94">
                  <c:v>40</c:v>
                </c:pt>
                <c:pt idx="95">
                  <c:v>290</c:v>
                </c:pt>
                <c:pt idx="96">
                  <c:v>70</c:v>
                </c:pt>
                <c:pt idx="97">
                  <c:v>240</c:v>
                </c:pt>
                <c:pt idx="98">
                  <c:v>90</c:v>
                </c:pt>
                <c:pt idx="9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5E-4353-881F-C7D99DA24B1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57292784"/>
        <c:axId val="957288624"/>
      </c:barChart>
      <c:catAx>
        <c:axId val="957292784"/>
        <c:scaling>
          <c:orientation val="minMax"/>
        </c:scaling>
        <c:delete val="0"/>
        <c:axPos val="b"/>
        <c:numFmt formatCode="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57288624"/>
        <c:crosses val="autoZero"/>
        <c:auto val="1"/>
        <c:lblAlgn val="ctr"/>
        <c:lblOffset val="100"/>
        <c:noMultiLvlLbl val="0"/>
      </c:catAx>
      <c:valAx>
        <c:axId val="95728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5729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NZ" sz="1600" b="1"/>
              <a:t>2-Digit Down Performance (Main)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'2-Digit Lotto Table'!$G$4</c:f>
              <c:strCache>
                <c:ptCount val="1"/>
                <c:pt idx="0">
                  <c:v>Main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'2-Digit Lotto Table'!$F$5:$F$104</c:f>
              <c:numCache>
                <c:formatCode>00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'2-Digit Lotto Table'!$G$5:$G$104</c:f>
              <c:numCache>
                <c:formatCode>General</c:formatCode>
                <c:ptCount val="100"/>
                <c:pt idx="0">
                  <c:v>50</c:v>
                </c:pt>
                <c:pt idx="1">
                  <c:v>50</c:v>
                </c:pt>
                <c:pt idx="2">
                  <c:v>10</c:v>
                </c:pt>
                <c:pt idx="3">
                  <c:v>80</c:v>
                </c:pt>
                <c:pt idx="4">
                  <c:v>40</c:v>
                </c:pt>
                <c:pt idx="5">
                  <c:v>350</c:v>
                </c:pt>
                <c:pt idx="7">
                  <c:v>100</c:v>
                </c:pt>
                <c:pt idx="8">
                  <c:v>50</c:v>
                </c:pt>
                <c:pt idx="9">
                  <c:v>75</c:v>
                </c:pt>
                <c:pt idx="10">
                  <c:v>50</c:v>
                </c:pt>
                <c:pt idx="11">
                  <c:v>130</c:v>
                </c:pt>
                <c:pt idx="12">
                  <c:v>50</c:v>
                </c:pt>
                <c:pt idx="13">
                  <c:v>80</c:v>
                </c:pt>
                <c:pt idx="14">
                  <c:v>170</c:v>
                </c:pt>
                <c:pt idx="15">
                  <c:v>450</c:v>
                </c:pt>
                <c:pt idx="16">
                  <c:v>200</c:v>
                </c:pt>
                <c:pt idx="17">
                  <c:v>480</c:v>
                </c:pt>
                <c:pt idx="18">
                  <c:v>390</c:v>
                </c:pt>
                <c:pt idx="19">
                  <c:v>700</c:v>
                </c:pt>
                <c:pt idx="20">
                  <c:v>10</c:v>
                </c:pt>
                <c:pt idx="21">
                  <c:v>130</c:v>
                </c:pt>
                <c:pt idx="22">
                  <c:v>110</c:v>
                </c:pt>
                <c:pt idx="23">
                  <c:v>950</c:v>
                </c:pt>
                <c:pt idx="24">
                  <c:v>530</c:v>
                </c:pt>
                <c:pt idx="25">
                  <c:v>2170</c:v>
                </c:pt>
                <c:pt idx="26">
                  <c:v>320</c:v>
                </c:pt>
                <c:pt idx="27">
                  <c:v>400</c:v>
                </c:pt>
                <c:pt idx="28">
                  <c:v>20</c:v>
                </c:pt>
                <c:pt idx="29">
                  <c:v>2030</c:v>
                </c:pt>
                <c:pt idx="30">
                  <c:v>100</c:v>
                </c:pt>
                <c:pt idx="31">
                  <c:v>140</c:v>
                </c:pt>
                <c:pt idx="32">
                  <c:v>980</c:v>
                </c:pt>
                <c:pt idx="33">
                  <c:v>100</c:v>
                </c:pt>
                <c:pt idx="34">
                  <c:v>400</c:v>
                </c:pt>
                <c:pt idx="35">
                  <c:v>200</c:v>
                </c:pt>
                <c:pt idx="36">
                  <c:v>130</c:v>
                </c:pt>
                <c:pt idx="37">
                  <c:v>520</c:v>
                </c:pt>
                <c:pt idx="38">
                  <c:v>90</c:v>
                </c:pt>
                <c:pt idx="39">
                  <c:v>820</c:v>
                </c:pt>
                <c:pt idx="40">
                  <c:v>40</c:v>
                </c:pt>
                <c:pt idx="41">
                  <c:v>150</c:v>
                </c:pt>
                <c:pt idx="42">
                  <c:v>280</c:v>
                </c:pt>
                <c:pt idx="43">
                  <c:v>1000</c:v>
                </c:pt>
                <c:pt idx="45">
                  <c:v>320</c:v>
                </c:pt>
                <c:pt idx="46">
                  <c:v>140</c:v>
                </c:pt>
                <c:pt idx="47">
                  <c:v>450</c:v>
                </c:pt>
                <c:pt idx="48">
                  <c:v>550</c:v>
                </c:pt>
                <c:pt idx="49">
                  <c:v>70</c:v>
                </c:pt>
                <c:pt idx="50">
                  <c:v>130</c:v>
                </c:pt>
                <c:pt idx="51">
                  <c:v>290</c:v>
                </c:pt>
                <c:pt idx="52">
                  <c:v>840</c:v>
                </c:pt>
                <c:pt idx="53">
                  <c:v>280</c:v>
                </c:pt>
                <c:pt idx="54">
                  <c:v>420</c:v>
                </c:pt>
                <c:pt idx="55">
                  <c:v>200</c:v>
                </c:pt>
                <c:pt idx="56">
                  <c:v>490</c:v>
                </c:pt>
                <c:pt idx="57">
                  <c:v>890</c:v>
                </c:pt>
                <c:pt idx="58">
                  <c:v>1970</c:v>
                </c:pt>
                <c:pt idx="59">
                  <c:v>630</c:v>
                </c:pt>
                <c:pt idx="61">
                  <c:v>200</c:v>
                </c:pt>
                <c:pt idx="62">
                  <c:v>320</c:v>
                </c:pt>
                <c:pt idx="63">
                  <c:v>100</c:v>
                </c:pt>
                <c:pt idx="64">
                  <c:v>140</c:v>
                </c:pt>
                <c:pt idx="65">
                  <c:v>190</c:v>
                </c:pt>
                <c:pt idx="66">
                  <c:v>100</c:v>
                </c:pt>
                <c:pt idx="67">
                  <c:v>230</c:v>
                </c:pt>
                <c:pt idx="68">
                  <c:v>300</c:v>
                </c:pt>
                <c:pt idx="69">
                  <c:v>50</c:v>
                </c:pt>
                <c:pt idx="70">
                  <c:v>130</c:v>
                </c:pt>
                <c:pt idx="71">
                  <c:v>290</c:v>
                </c:pt>
                <c:pt idx="72">
                  <c:v>600</c:v>
                </c:pt>
                <c:pt idx="73">
                  <c:v>330</c:v>
                </c:pt>
                <c:pt idx="74">
                  <c:v>280</c:v>
                </c:pt>
                <c:pt idx="75">
                  <c:v>740</c:v>
                </c:pt>
                <c:pt idx="76">
                  <c:v>230</c:v>
                </c:pt>
                <c:pt idx="78">
                  <c:v>640</c:v>
                </c:pt>
                <c:pt idx="79">
                  <c:v>260</c:v>
                </c:pt>
                <c:pt idx="80">
                  <c:v>30</c:v>
                </c:pt>
                <c:pt idx="81">
                  <c:v>450</c:v>
                </c:pt>
                <c:pt idx="82">
                  <c:v>20</c:v>
                </c:pt>
                <c:pt idx="84">
                  <c:v>750</c:v>
                </c:pt>
                <c:pt idx="85">
                  <c:v>1240</c:v>
                </c:pt>
                <c:pt idx="86">
                  <c:v>300</c:v>
                </c:pt>
                <c:pt idx="87">
                  <c:v>390</c:v>
                </c:pt>
                <c:pt idx="88">
                  <c:v>170</c:v>
                </c:pt>
                <c:pt idx="89">
                  <c:v>90</c:v>
                </c:pt>
                <c:pt idx="90">
                  <c:v>75</c:v>
                </c:pt>
                <c:pt idx="91">
                  <c:v>650</c:v>
                </c:pt>
                <c:pt idx="92">
                  <c:v>730</c:v>
                </c:pt>
                <c:pt idx="93">
                  <c:v>790</c:v>
                </c:pt>
                <c:pt idx="94">
                  <c:v>70</c:v>
                </c:pt>
                <c:pt idx="95">
                  <c:v>240</c:v>
                </c:pt>
                <c:pt idx="96">
                  <c:v>50</c:v>
                </c:pt>
                <c:pt idx="97">
                  <c:v>210</c:v>
                </c:pt>
                <c:pt idx="98">
                  <c:v>290</c:v>
                </c:pt>
                <c:pt idx="9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E8-472D-8D48-AB7E1BC899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75006128"/>
        <c:axId val="1075003632"/>
      </c:barChart>
      <c:catAx>
        <c:axId val="1075006128"/>
        <c:scaling>
          <c:orientation val="minMax"/>
        </c:scaling>
        <c:delete val="0"/>
        <c:axPos val="b"/>
        <c:numFmt formatCode="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75003632"/>
        <c:crosses val="autoZero"/>
        <c:auto val="1"/>
        <c:lblAlgn val="ctr"/>
        <c:lblOffset val="100"/>
        <c:noMultiLvlLbl val="0"/>
      </c:catAx>
      <c:valAx>
        <c:axId val="107500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7500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NZ" sz="1600" b="1"/>
              <a:t>3-Digit Top Performance (Main)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'3-Digit Lotto Table'!$C$4</c:f>
              <c:strCache>
                <c:ptCount val="1"/>
                <c:pt idx="0">
                  <c:v>Main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'3-Digit Lotto Table'!$B$5:$B$1004</c:f>
              <c:numCache>
                <c:formatCode>000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'3-Digit Lotto Table'!$C$5:$C$1004</c:f>
              <c:numCache>
                <c:formatCode>General</c:formatCode>
                <c:ptCount val="1000"/>
                <c:pt idx="13">
                  <c:v>50</c:v>
                </c:pt>
                <c:pt idx="15">
                  <c:v>70</c:v>
                </c:pt>
                <c:pt idx="31">
                  <c:v>50</c:v>
                </c:pt>
                <c:pt idx="35">
                  <c:v>50</c:v>
                </c:pt>
                <c:pt idx="45">
                  <c:v>100</c:v>
                </c:pt>
                <c:pt idx="59">
                  <c:v>50</c:v>
                </c:pt>
                <c:pt idx="79">
                  <c:v>50</c:v>
                </c:pt>
                <c:pt idx="90">
                  <c:v>50</c:v>
                </c:pt>
                <c:pt idx="91">
                  <c:v>100</c:v>
                </c:pt>
                <c:pt idx="93">
                  <c:v>100</c:v>
                </c:pt>
                <c:pt idx="95">
                  <c:v>50</c:v>
                </c:pt>
                <c:pt idx="103">
                  <c:v>50</c:v>
                </c:pt>
                <c:pt idx="105">
                  <c:v>200</c:v>
                </c:pt>
                <c:pt idx="108">
                  <c:v>50</c:v>
                </c:pt>
                <c:pt idx="117">
                  <c:v>50</c:v>
                </c:pt>
                <c:pt idx="130">
                  <c:v>50</c:v>
                </c:pt>
                <c:pt idx="147">
                  <c:v>50</c:v>
                </c:pt>
                <c:pt idx="158">
                  <c:v>50</c:v>
                </c:pt>
                <c:pt idx="175">
                  <c:v>300</c:v>
                </c:pt>
                <c:pt idx="177">
                  <c:v>300</c:v>
                </c:pt>
                <c:pt idx="178">
                  <c:v>50</c:v>
                </c:pt>
                <c:pt idx="185">
                  <c:v>50</c:v>
                </c:pt>
                <c:pt idx="203">
                  <c:v>50</c:v>
                </c:pt>
                <c:pt idx="205">
                  <c:v>20</c:v>
                </c:pt>
                <c:pt idx="219">
                  <c:v>50</c:v>
                </c:pt>
                <c:pt idx="231">
                  <c:v>20</c:v>
                </c:pt>
                <c:pt idx="239">
                  <c:v>100</c:v>
                </c:pt>
                <c:pt idx="245">
                  <c:v>100</c:v>
                </c:pt>
                <c:pt idx="255">
                  <c:v>100</c:v>
                </c:pt>
                <c:pt idx="257">
                  <c:v>100</c:v>
                </c:pt>
                <c:pt idx="273">
                  <c:v>20</c:v>
                </c:pt>
                <c:pt idx="278">
                  <c:v>50</c:v>
                </c:pt>
                <c:pt idx="286">
                  <c:v>100</c:v>
                </c:pt>
                <c:pt idx="289">
                  <c:v>20</c:v>
                </c:pt>
                <c:pt idx="290">
                  <c:v>50</c:v>
                </c:pt>
                <c:pt idx="291">
                  <c:v>50</c:v>
                </c:pt>
                <c:pt idx="301">
                  <c:v>50</c:v>
                </c:pt>
                <c:pt idx="308">
                  <c:v>30</c:v>
                </c:pt>
                <c:pt idx="309">
                  <c:v>30</c:v>
                </c:pt>
                <c:pt idx="310">
                  <c:v>50</c:v>
                </c:pt>
                <c:pt idx="320">
                  <c:v>100</c:v>
                </c:pt>
                <c:pt idx="321">
                  <c:v>100</c:v>
                </c:pt>
                <c:pt idx="343">
                  <c:v>300</c:v>
                </c:pt>
                <c:pt idx="357">
                  <c:v>200</c:v>
                </c:pt>
                <c:pt idx="364">
                  <c:v>50</c:v>
                </c:pt>
                <c:pt idx="367">
                  <c:v>50</c:v>
                </c:pt>
                <c:pt idx="372">
                  <c:v>300</c:v>
                </c:pt>
                <c:pt idx="375">
                  <c:v>20</c:v>
                </c:pt>
                <c:pt idx="376">
                  <c:v>50</c:v>
                </c:pt>
                <c:pt idx="378">
                  <c:v>50</c:v>
                </c:pt>
                <c:pt idx="379">
                  <c:v>50</c:v>
                </c:pt>
                <c:pt idx="387">
                  <c:v>50</c:v>
                </c:pt>
                <c:pt idx="391">
                  <c:v>100</c:v>
                </c:pt>
                <c:pt idx="396">
                  <c:v>50</c:v>
                </c:pt>
                <c:pt idx="397">
                  <c:v>50</c:v>
                </c:pt>
                <c:pt idx="405">
                  <c:v>50</c:v>
                </c:pt>
                <c:pt idx="415">
                  <c:v>50</c:v>
                </c:pt>
                <c:pt idx="417">
                  <c:v>100</c:v>
                </c:pt>
                <c:pt idx="423">
                  <c:v>50</c:v>
                </c:pt>
                <c:pt idx="425">
                  <c:v>100</c:v>
                </c:pt>
                <c:pt idx="449">
                  <c:v>0</c:v>
                </c:pt>
                <c:pt idx="450">
                  <c:v>50</c:v>
                </c:pt>
                <c:pt idx="461">
                  <c:v>50</c:v>
                </c:pt>
                <c:pt idx="467">
                  <c:v>50</c:v>
                </c:pt>
                <c:pt idx="478">
                  <c:v>100</c:v>
                </c:pt>
                <c:pt idx="479">
                  <c:v>100</c:v>
                </c:pt>
                <c:pt idx="494">
                  <c:v>0</c:v>
                </c:pt>
                <c:pt idx="509">
                  <c:v>50</c:v>
                </c:pt>
                <c:pt idx="518">
                  <c:v>50</c:v>
                </c:pt>
                <c:pt idx="521">
                  <c:v>100</c:v>
                </c:pt>
                <c:pt idx="526">
                  <c:v>50</c:v>
                </c:pt>
                <c:pt idx="528">
                  <c:v>20</c:v>
                </c:pt>
                <c:pt idx="538">
                  <c:v>100</c:v>
                </c:pt>
                <c:pt idx="543">
                  <c:v>300</c:v>
                </c:pt>
                <c:pt idx="546">
                  <c:v>50</c:v>
                </c:pt>
                <c:pt idx="563">
                  <c:v>100</c:v>
                </c:pt>
                <c:pt idx="568">
                  <c:v>50</c:v>
                </c:pt>
                <c:pt idx="569">
                  <c:v>50</c:v>
                </c:pt>
                <c:pt idx="578">
                  <c:v>50</c:v>
                </c:pt>
                <c:pt idx="581">
                  <c:v>50</c:v>
                </c:pt>
                <c:pt idx="584">
                  <c:v>100</c:v>
                </c:pt>
                <c:pt idx="586">
                  <c:v>50</c:v>
                </c:pt>
                <c:pt idx="587">
                  <c:v>200</c:v>
                </c:pt>
                <c:pt idx="589">
                  <c:v>50</c:v>
                </c:pt>
                <c:pt idx="590">
                  <c:v>50</c:v>
                </c:pt>
                <c:pt idx="595">
                  <c:v>50</c:v>
                </c:pt>
                <c:pt idx="598">
                  <c:v>150</c:v>
                </c:pt>
                <c:pt idx="625">
                  <c:v>50</c:v>
                </c:pt>
                <c:pt idx="637">
                  <c:v>50</c:v>
                </c:pt>
                <c:pt idx="638">
                  <c:v>100</c:v>
                </c:pt>
                <c:pt idx="648">
                  <c:v>20</c:v>
                </c:pt>
                <c:pt idx="651">
                  <c:v>50</c:v>
                </c:pt>
                <c:pt idx="658">
                  <c:v>50</c:v>
                </c:pt>
                <c:pt idx="673">
                  <c:v>50</c:v>
                </c:pt>
                <c:pt idx="678">
                  <c:v>100</c:v>
                </c:pt>
                <c:pt idx="685">
                  <c:v>50</c:v>
                </c:pt>
                <c:pt idx="686">
                  <c:v>20</c:v>
                </c:pt>
                <c:pt idx="687">
                  <c:v>20</c:v>
                </c:pt>
                <c:pt idx="709">
                  <c:v>50</c:v>
                </c:pt>
                <c:pt idx="715">
                  <c:v>20</c:v>
                </c:pt>
                <c:pt idx="720">
                  <c:v>300</c:v>
                </c:pt>
                <c:pt idx="723">
                  <c:v>60</c:v>
                </c:pt>
                <c:pt idx="724">
                  <c:v>100</c:v>
                </c:pt>
                <c:pt idx="725">
                  <c:v>50</c:v>
                </c:pt>
                <c:pt idx="731">
                  <c:v>30</c:v>
                </c:pt>
                <c:pt idx="734">
                  <c:v>50</c:v>
                </c:pt>
                <c:pt idx="736">
                  <c:v>50</c:v>
                </c:pt>
                <c:pt idx="738">
                  <c:v>50</c:v>
                </c:pt>
                <c:pt idx="739">
                  <c:v>100</c:v>
                </c:pt>
                <c:pt idx="758">
                  <c:v>100</c:v>
                </c:pt>
                <c:pt idx="763">
                  <c:v>100</c:v>
                </c:pt>
                <c:pt idx="766">
                  <c:v>20</c:v>
                </c:pt>
                <c:pt idx="768">
                  <c:v>100</c:v>
                </c:pt>
                <c:pt idx="783">
                  <c:v>50</c:v>
                </c:pt>
                <c:pt idx="786">
                  <c:v>100</c:v>
                </c:pt>
                <c:pt idx="791">
                  <c:v>100</c:v>
                </c:pt>
                <c:pt idx="793">
                  <c:v>50</c:v>
                </c:pt>
                <c:pt idx="815">
                  <c:v>50</c:v>
                </c:pt>
                <c:pt idx="824">
                  <c:v>100</c:v>
                </c:pt>
                <c:pt idx="837">
                  <c:v>50</c:v>
                </c:pt>
                <c:pt idx="851">
                  <c:v>50</c:v>
                </c:pt>
                <c:pt idx="855">
                  <c:v>100</c:v>
                </c:pt>
                <c:pt idx="856">
                  <c:v>50</c:v>
                </c:pt>
                <c:pt idx="857">
                  <c:v>20</c:v>
                </c:pt>
                <c:pt idx="859">
                  <c:v>50</c:v>
                </c:pt>
                <c:pt idx="863">
                  <c:v>200</c:v>
                </c:pt>
                <c:pt idx="865">
                  <c:v>50</c:v>
                </c:pt>
                <c:pt idx="866">
                  <c:v>30</c:v>
                </c:pt>
                <c:pt idx="867">
                  <c:v>20</c:v>
                </c:pt>
                <c:pt idx="869">
                  <c:v>20</c:v>
                </c:pt>
                <c:pt idx="873">
                  <c:v>50</c:v>
                </c:pt>
                <c:pt idx="875">
                  <c:v>20</c:v>
                </c:pt>
                <c:pt idx="876">
                  <c:v>100</c:v>
                </c:pt>
                <c:pt idx="891">
                  <c:v>100</c:v>
                </c:pt>
                <c:pt idx="892">
                  <c:v>20</c:v>
                </c:pt>
                <c:pt idx="895">
                  <c:v>50</c:v>
                </c:pt>
                <c:pt idx="900">
                  <c:v>50</c:v>
                </c:pt>
                <c:pt idx="905">
                  <c:v>50</c:v>
                </c:pt>
                <c:pt idx="912">
                  <c:v>50</c:v>
                </c:pt>
                <c:pt idx="935">
                  <c:v>100</c:v>
                </c:pt>
                <c:pt idx="937">
                  <c:v>100</c:v>
                </c:pt>
                <c:pt idx="938">
                  <c:v>60</c:v>
                </c:pt>
                <c:pt idx="944">
                  <c:v>0</c:v>
                </c:pt>
                <c:pt idx="945">
                  <c:v>130</c:v>
                </c:pt>
                <c:pt idx="947">
                  <c:v>20</c:v>
                </c:pt>
                <c:pt idx="950">
                  <c:v>50</c:v>
                </c:pt>
                <c:pt idx="951">
                  <c:v>50</c:v>
                </c:pt>
                <c:pt idx="957">
                  <c:v>100</c:v>
                </c:pt>
                <c:pt idx="958">
                  <c:v>150</c:v>
                </c:pt>
                <c:pt idx="968">
                  <c:v>100</c:v>
                </c:pt>
                <c:pt idx="973">
                  <c:v>70</c:v>
                </c:pt>
                <c:pt idx="981">
                  <c:v>20</c:v>
                </c:pt>
                <c:pt idx="985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8B-4936-92C8-87195D74C5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30943920"/>
        <c:axId val="1130944336"/>
      </c:barChart>
      <c:catAx>
        <c:axId val="1130943920"/>
        <c:scaling>
          <c:orientation val="minMax"/>
        </c:scaling>
        <c:delete val="0"/>
        <c:axPos val="b"/>
        <c:numFmt formatCode="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30944336"/>
        <c:crosses val="autoZero"/>
        <c:auto val="1"/>
        <c:lblAlgn val="ctr"/>
        <c:lblOffset val="100"/>
        <c:noMultiLvlLbl val="0"/>
      </c:catAx>
      <c:valAx>
        <c:axId val="113094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3094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NZ" sz="1600" b="1"/>
              <a:t>3-Digit Top Performance (Similar)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'3-Digit Lotto Table'!$D$4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'3-Digit Lotto Table'!$B$5:$B$1004</c:f>
              <c:numCache>
                <c:formatCode>000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'3-Digit Lotto Table'!$D$5:$D$1004</c:f>
              <c:numCache>
                <c:formatCode>General</c:formatCode>
                <c:ptCount val="1000"/>
                <c:pt idx="15">
                  <c:v>50</c:v>
                </c:pt>
                <c:pt idx="35">
                  <c:v>50</c:v>
                </c:pt>
                <c:pt idx="45">
                  <c:v>100</c:v>
                </c:pt>
                <c:pt idx="79">
                  <c:v>50</c:v>
                </c:pt>
                <c:pt idx="91">
                  <c:v>100</c:v>
                </c:pt>
                <c:pt idx="93">
                  <c:v>100</c:v>
                </c:pt>
                <c:pt idx="105">
                  <c:v>100</c:v>
                </c:pt>
                <c:pt idx="108">
                  <c:v>50</c:v>
                </c:pt>
                <c:pt idx="147">
                  <c:v>50</c:v>
                </c:pt>
                <c:pt idx="158">
                  <c:v>50</c:v>
                </c:pt>
                <c:pt idx="175">
                  <c:v>300</c:v>
                </c:pt>
                <c:pt idx="177">
                  <c:v>300</c:v>
                </c:pt>
                <c:pt idx="178">
                  <c:v>50</c:v>
                </c:pt>
                <c:pt idx="185">
                  <c:v>50</c:v>
                </c:pt>
                <c:pt idx="203">
                  <c:v>50</c:v>
                </c:pt>
                <c:pt idx="205">
                  <c:v>20</c:v>
                </c:pt>
                <c:pt idx="219">
                  <c:v>50</c:v>
                </c:pt>
                <c:pt idx="231">
                  <c:v>20</c:v>
                </c:pt>
                <c:pt idx="239">
                  <c:v>100</c:v>
                </c:pt>
                <c:pt idx="245">
                  <c:v>100</c:v>
                </c:pt>
                <c:pt idx="255">
                  <c:v>100</c:v>
                </c:pt>
                <c:pt idx="257">
                  <c:v>100</c:v>
                </c:pt>
                <c:pt idx="273">
                  <c:v>20</c:v>
                </c:pt>
                <c:pt idx="278">
                  <c:v>50</c:v>
                </c:pt>
                <c:pt idx="286">
                  <c:v>100</c:v>
                </c:pt>
                <c:pt idx="290">
                  <c:v>50</c:v>
                </c:pt>
                <c:pt idx="291">
                  <c:v>50</c:v>
                </c:pt>
                <c:pt idx="308">
                  <c:v>30</c:v>
                </c:pt>
                <c:pt idx="309">
                  <c:v>30</c:v>
                </c:pt>
                <c:pt idx="320">
                  <c:v>100</c:v>
                </c:pt>
                <c:pt idx="321">
                  <c:v>100</c:v>
                </c:pt>
                <c:pt idx="343">
                  <c:v>300</c:v>
                </c:pt>
                <c:pt idx="357">
                  <c:v>200</c:v>
                </c:pt>
                <c:pt idx="364">
                  <c:v>50</c:v>
                </c:pt>
                <c:pt idx="372">
                  <c:v>300</c:v>
                </c:pt>
                <c:pt idx="375">
                  <c:v>20</c:v>
                </c:pt>
                <c:pt idx="391">
                  <c:v>100</c:v>
                </c:pt>
                <c:pt idx="396">
                  <c:v>50</c:v>
                </c:pt>
                <c:pt idx="405">
                  <c:v>50</c:v>
                </c:pt>
                <c:pt idx="415">
                  <c:v>50</c:v>
                </c:pt>
                <c:pt idx="417">
                  <c:v>100</c:v>
                </c:pt>
                <c:pt idx="423">
                  <c:v>50</c:v>
                </c:pt>
                <c:pt idx="425">
                  <c:v>100</c:v>
                </c:pt>
                <c:pt idx="450">
                  <c:v>50</c:v>
                </c:pt>
                <c:pt idx="461">
                  <c:v>50</c:v>
                </c:pt>
                <c:pt idx="467">
                  <c:v>50</c:v>
                </c:pt>
                <c:pt idx="478">
                  <c:v>100</c:v>
                </c:pt>
                <c:pt idx="479">
                  <c:v>100</c:v>
                </c:pt>
                <c:pt idx="518">
                  <c:v>50</c:v>
                </c:pt>
                <c:pt idx="521">
                  <c:v>100</c:v>
                </c:pt>
                <c:pt idx="526">
                  <c:v>50</c:v>
                </c:pt>
                <c:pt idx="528">
                  <c:v>20</c:v>
                </c:pt>
                <c:pt idx="538">
                  <c:v>200</c:v>
                </c:pt>
                <c:pt idx="543">
                  <c:v>300</c:v>
                </c:pt>
                <c:pt idx="546">
                  <c:v>100</c:v>
                </c:pt>
                <c:pt idx="563">
                  <c:v>100</c:v>
                </c:pt>
                <c:pt idx="568">
                  <c:v>50</c:v>
                </c:pt>
                <c:pt idx="578">
                  <c:v>50</c:v>
                </c:pt>
                <c:pt idx="581">
                  <c:v>50</c:v>
                </c:pt>
                <c:pt idx="584">
                  <c:v>100</c:v>
                </c:pt>
                <c:pt idx="586">
                  <c:v>50</c:v>
                </c:pt>
                <c:pt idx="589">
                  <c:v>50</c:v>
                </c:pt>
                <c:pt idx="595">
                  <c:v>50</c:v>
                </c:pt>
                <c:pt idx="598">
                  <c:v>150</c:v>
                </c:pt>
                <c:pt idx="625">
                  <c:v>50</c:v>
                </c:pt>
                <c:pt idx="638">
                  <c:v>50</c:v>
                </c:pt>
                <c:pt idx="648">
                  <c:v>20</c:v>
                </c:pt>
                <c:pt idx="651">
                  <c:v>50</c:v>
                </c:pt>
                <c:pt idx="658">
                  <c:v>50</c:v>
                </c:pt>
                <c:pt idx="678">
                  <c:v>100</c:v>
                </c:pt>
                <c:pt idx="685">
                  <c:v>50</c:v>
                </c:pt>
                <c:pt idx="686">
                  <c:v>20</c:v>
                </c:pt>
                <c:pt idx="687">
                  <c:v>20</c:v>
                </c:pt>
                <c:pt idx="709">
                  <c:v>50</c:v>
                </c:pt>
                <c:pt idx="715">
                  <c:v>20</c:v>
                </c:pt>
                <c:pt idx="720">
                  <c:v>300</c:v>
                </c:pt>
                <c:pt idx="723">
                  <c:v>60</c:v>
                </c:pt>
                <c:pt idx="724">
                  <c:v>100</c:v>
                </c:pt>
                <c:pt idx="725">
                  <c:v>50</c:v>
                </c:pt>
                <c:pt idx="731">
                  <c:v>30</c:v>
                </c:pt>
                <c:pt idx="734">
                  <c:v>50</c:v>
                </c:pt>
                <c:pt idx="739">
                  <c:v>50</c:v>
                </c:pt>
                <c:pt idx="758">
                  <c:v>100</c:v>
                </c:pt>
                <c:pt idx="763">
                  <c:v>50</c:v>
                </c:pt>
                <c:pt idx="766">
                  <c:v>20</c:v>
                </c:pt>
                <c:pt idx="768">
                  <c:v>100</c:v>
                </c:pt>
                <c:pt idx="786">
                  <c:v>0</c:v>
                </c:pt>
                <c:pt idx="791">
                  <c:v>100</c:v>
                </c:pt>
                <c:pt idx="815">
                  <c:v>50</c:v>
                </c:pt>
                <c:pt idx="824">
                  <c:v>100</c:v>
                </c:pt>
                <c:pt idx="851">
                  <c:v>50</c:v>
                </c:pt>
                <c:pt idx="855">
                  <c:v>100</c:v>
                </c:pt>
                <c:pt idx="856">
                  <c:v>50</c:v>
                </c:pt>
                <c:pt idx="857">
                  <c:v>20</c:v>
                </c:pt>
                <c:pt idx="859">
                  <c:v>50</c:v>
                </c:pt>
                <c:pt idx="863">
                  <c:v>200</c:v>
                </c:pt>
                <c:pt idx="865">
                  <c:v>50</c:v>
                </c:pt>
                <c:pt idx="866">
                  <c:v>30</c:v>
                </c:pt>
                <c:pt idx="867">
                  <c:v>20</c:v>
                </c:pt>
                <c:pt idx="869">
                  <c:v>20</c:v>
                </c:pt>
                <c:pt idx="875">
                  <c:v>20</c:v>
                </c:pt>
                <c:pt idx="876">
                  <c:v>100</c:v>
                </c:pt>
                <c:pt idx="891">
                  <c:v>100</c:v>
                </c:pt>
                <c:pt idx="892">
                  <c:v>20</c:v>
                </c:pt>
                <c:pt idx="895">
                  <c:v>50</c:v>
                </c:pt>
                <c:pt idx="912">
                  <c:v>50</c:v>
                </c:pt>
                <c:pt idx="935">
                  <c:v>100</c:v>
                </c:pt>
                <c:pt idx="937">
                  <c:v>50</c:v>
                </c:pt>
                <c:pt idx="938">
                  <c:v>60</c:v>
                </c:pt>
                <c:pt idx="945">
                  <c:v>130</c:v>
                </c:pt>
                <c:pt idx="947">
                  <c:v>20</c:v>
                </c:pt>
                <c:pt idx="951">
                  <c:v>50</c:v>
                </c:pt>
                <c:pt idx="957">
                  <c:v>100</c:v>
                </c:pt>
                <c:pt idx="958">
                  <c:v>250</c:v>
                </c:pt>
                <c:pt idx="968">
                  <c:v>100</c:v>
                </c:pt>
                <c:pt idx="973">
                  <c:v>20</c:v>
                </c:pt>
                <c:pt idx="981">
                  <c:v>20</c:v>
                </c:pt>
                <c:pt idx="985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0-4EA6-A453-073C948C1D8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30943920"/>
        <c:axId val="1130944336"/>
      </c:barChart>
      <c:catAx>
        <c:axId val="1130943920"/>
        <c:scaling>
          <c:orientation val="minMax"/>
        </c:scaling>
        <c:delete val="0"/>
        <c:axPos val="b"/>
        <c:numFmt formatCode="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30944336"/>
        <c:crosses val="autoZero"/>
        <c:auto val="1"/>
        <c:lblAlgn val="ctr"/>
        <c:lblOffset val="100"/>
        <c:noMultiLvlLbl val="0"/>
      </c:catAx>
      <c:valAx>
        <c:axId val="113094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3094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NZ" sz="1600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3-Digit</a:t>
            </a:r>
            <a:r>
              <a:rPr lang="en-NZ" sz="1600" b="1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Down Performance (Main)</a:t>
            </a:r>
            <a:endParaRPr lang="en-NZ" sz="16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'3-Digit Lotto Table'!$G$4</c:f>
              <c:strCache>
                <c:ptCount val="1"/>
                <c:pt idx="0">
                  <c:v>Main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'3-Digit Lotto Table'!$F$5:$F$1004</c:f>
              <c:numCache>
                <c:formatCode>000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'3-Digit Lotto Table'!$G$5:$G$1004</c:f>
              <c:numCache>
                <c:formatCode>General</c:formatCode>
                <c:ptCount val="1000"/>
                <c:pt idx="9">
                  <c:v>50</c:v>
                </c:pt>
                <c:pt idx="15">
                  <c:v>20</c:v>
                </c:pt>
                <c:pt idx="90">
                  <c:v>50</c:v>
                </c:pt>
                <c:pt idx="181">
                  <c:v>50</c:v>
                </c:pt>
                <c:pt idx="289">
                  <c:v>20</c:v>
                </c:pt>
                <c:pt idx="310">
                  <c:v>50</c:v>
                </c:pt>
                <c:pt idx="320">
                  <c:v>100</c:v>
                </c:pt>
                <c:pt idx="367">
                  <c:v>100</c:v>
                </c:pt>
                <c:pt idx="376">
                  <c:v>100</c:v>
                </c:pt>
                <c:pt idx="379">
                  <c:v>100</c:v>
                </c:pt>
                <c:pt idx="397">
                  <c:v>100</c:v>
                </c:pt>
                <c:pt idx="549">
                  <c:v>250</c:v>
                </c:pt>
                <c:pt idx="603">
                  <c:v>50</c:v>
                </c:pt>
                <c:pt idx="637">
                  <c:v>100</c:v>
                </c:pt>
                <c:pt idx="673">
                  <c:v>100</c:v>
                </c:pt>
                <c:pt idx="735">
                  <c:v>100</c:v>
                </c:pt>
                <c:pt idx="739">
                  <c:v>100</c:v>
                </c:pt>
                <c:pt idx="763">
                  <c:v>100</c:v>
                </c:pt>
                <c:pt idx="793">
                  <c:v>100</c:v>
                </c:pt>
                <c:pt idx="894">
                  <c:v>50</c:v>
                </c:pt>
                <c:pt idx="900">
                  <c:v>50</c:v>
                </c:pt>
                <c:pt idx="937">
                  <c:v>100</c:v>
                </c:pt>
                <c:pt idx="973">
                  <c:v>100</c:v>
                </c:pt>
                <c:pt idx="984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AB-4DC9-AE80-69D52665A8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74994592"/>
        <c:axId val="1074998336"/>
      </c:barChart>
      <c:catAx>
        <c:axId val="1074994592"/>
        <c:scaling>
          <c:orientation val="minMax"/>
        </c:scaling>
        <c:delete val="0"/>
        <c:axPos val="b"/>
        <c:numFmt formatCode="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998336"/>
        <c:crosses val="autoZero"/>
        <c:auto val="1"/>
        <c:lblAlgn val="ctr"/>
        <c:lblOffset val="100"/>
        <c:noMultiLvlLbl val="0"/>
      </c:catAx>
      <c:valAx>
        <c:axId val="107499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99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0</xdr:row>
          <xdr:rowOff>152400</xdr:rowOff>
        </xdr:from>
        <xdr:to>
          <xdr:col>7</xdr:col>
          <xdr:colOff>373380</xdr:colOff>
          <xdr:row>2</xdr:row>
          <xdr:rowOff>7620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NZ" sz="2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 All!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4</xdr:row>
          <xdr:rowOff>99060</xdr:rowOff>
        </xdr:from>
        <xdr:to>
          <xdr:col>9</xdr:col>
          <xdr:colOff>579120</xdr:colOff>
          <xdr:row>7</xdr:row>
          <xdr:rowOff>68580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NZ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cost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9</xdr:row>
          <xdr:rowOff>0</xdr:rowOff>
        </xdr:from>
        <xdr:to>
          <xdr:col>11</xdr:col>
          <xdr:colOff>571500</xdr:colOff>
          <xdr:row>11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NZ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7620</xdr:rowOff>
        </xdr:from>
        <xdr:to>
          <xdr:col>11</xdr:col>
          <xdr:colOff>563880</xdr:colOff>
          <xdr:row>11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NZ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594360</xdr:colOff>
      <xdr:row>2</xdr:row>
      <xdr:rowOff>106680</xdr:rowOff>
    </xdr:from>
    <xdr:to>
      <xdr:col>8</xdr:col>
      <xdr:colOff>289560</xdr:colOff>
      <xdr:row>17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30480</xdr:colOff>
      <xdr:row>19</xdr:row>
      <xdr:rowOff>45720</xdr:rowOff>
    </xdr:from>
    <xdr:to>
      <xdr:col>8</xdr:col>
      <xdr:colOff>335280</xdr:colOff>
      <xdr:row>34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45720</xdr:colOff>
      <xdr:row>2</xdr:row>
      <xdr:rowOff>99060</xdr:rowOff>
    </xdr:from>
    <xdr:to>
      <xdr:col>19</xdr:col>
      <xdr:colOff>350520</xdr:colOff>
      <xdr:row>17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19</xdr:row>
      <xdr:rowOff>0</xdr:rowOff>
    </xdr:from>
    <xdr:to>
      <xdr:col>19</xdr:col>
      <xdr:colOff>304800</xdr:colOff>
      <xdr:row>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19</xdr:col>
      <xdr:colOff>304800</xdr:colOff>
      <xdr:row>51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5207A87-9629-4658-9BED-576A999006BD}" name="Table610" displayName="Table610" ref="A3:E772" totalsRowShown="0" headerRowDxfId="36" headerRowBorderDxfId="35" tableBorderDxfId="34" totalsRowBorderDxfId="33">
  <autoFilter ref="A3:E772" xr:uid="{35207A87-9629-4658-9BED-576A999006BD}"/>
  <tableColumns count="5">
    <tableColumn id="1" xr3:uid="{1F5ABF30-860A-4EDB-8C3A-B117F5BD3D20}" name="Customer ID" dataDxfId="32"/>
    <tableColumn id="2" xr3:uid="{6CFCDF22-ABE3-4290-B374-D51022197CA6}" name="Name" dataDxfId="31"/>
    <tableColumn id="3" xr3:uid="{D46BCC40-E4DD-44CB-84BF-56697D57892F}" name="Lotto No." dataDxfId="30"/>
    <tableColumn id="4" xr3:uid="{A97A53A9-A7C8-492F-9511-DD1EBCB0206D}" name="Sale(THB)" dataDxfId="29"/>
    <tableColumn id="5" xr3:uid="{2BB79AA2-3FBD-4679-B7A2-494A9DC94176}" name="Top/Down" dataDxfId="2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965E7C6-001B-47E1-8829-B26D7355A08A}" name="Table711" displayName="Table711" ref="I3:N314" headerRowDxfId="27" dataDxfId="25" headerRowBorderDxfId="26" tableBorderDxfId="24" totalsRowBorderDxfId="23">
  <autoFilter ref="I3:N314" xr:uid="{E965E7C6-001B-47E1-8829-B26D7355A08A}"/>
  <tableColumns count="6">
    <tableColumn id="1" xr3:uid="{02DE3E0A-3053-4348-95D0-7FCB2C1D250A}" name="Customer ID" totalsRowLabel="Total" dataDxfId="22" totalsRowDxfId="21"/>
    <tableColumn id="2" xr3:uid="{1FE36C2E-8A49-4A61-9802-850A071EEAC6}" name="Name" dataDxfId="20" totalsRowDxfId="19"/>
    <tableColumn id="3" xr3:uid="{C76DE03B-A6C8-4344-A698-733B1D356B74}" name="Lotto No." dataDxfId="18" totalsRowDxfId="17"/>
    <tableColumn id="4" xr3:uid="{0107BEAF-BE5E-4C1C-A07D-A3DA757D941D}" name="Sale(THB)" dataDxfId="16" totalsRowDxfId="15"/>
    <tableColumn id="5" xr3:uid="{E2F46C23-1B29-4036-9BC7-4793A2F451B9}" name="Top/Down" dataDxfId="14" totalsRowDxfId="13"/>
    <tableColumn id="6" xr3:uid="{26863C32-4F8C-4401-B31C-3141055FBA74}" name="Main/Sim" totalsRowFunction="count" dataDxfId="12" totalsRow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DCC53A5-D40B-419C-BD81-2EA829E2AB08}" name="Table11" displayName="Table11" ref="A3:F35" totalsRowShown="0" headerRowDxfId="10" dataDxfId="8" headerRowBorderDxfId="9" tableBorderDxfId="7" totalsRowBorderDxfId="6">
  <autoFilter ref="A3:F35" xr:uid="{2DCC53A5-D40B-419C-BD81-2EA829E2AB0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FE2EDA6-D138-4349-AA16-14FC33FFA118}" name="Customer ID" dataDxfId="5"/>
    <tableColumn id="2" xr3:uid="{F35CDBE6-3927-40D0-B87D-2F72FE7E5B35}" name="Customer name" dataDxfId="4"/>
    <tableColumn id="3" xr3:uid="{982F4AB8-FC2B-4D4D-A268-C2E61E709DD1}" name="Sale (THB)" dataDxfId="3"/>
    <tableColumn id="4" xr3:uid="{86FE385F-24C7-4CC0-A420-902E2A7051DF}" name="Discount(%)" dataDxfId="2"/>
    <tableColumn id="5" xr3:uid="{2AFBED0C-26F5-4BC2-8764-64CBAE314C35}" name="Discount" dataDxfId="1">
      <calculatedColumnFormula>C4*D4%</calculatedColumnFormula>
    </tableColumn>
    <tableColumn id="6" xr3:uid="{B0F38C0D-DFC8-4B21-B15C-EC98B561AC2C}" name="Income" dataDxfId="0">
      <calculatedColumnFormula>C4-E4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6E775-EC69-49A7-86E5-048CE79392E7}">
  <sheetPr codeName="Sheet5"/>
  <dimension ref="A1:N772"/>
  <sheetViews>
    <sheetView tabSelected="1" workbookViewId="0">
      <selection activeCell="G10" sqref="G10"/>
    </sheetView>
  </sheetViews>
  <sheetFormatPr defaultColWidth="11.21875" defaultRowHeight="15.6" x14ac:dyDescent="0.3"/>
  <cols>
    <col min="1" max="1" width="30.44140625" style="11" bestFit="1" customWidth="1"/>
    <col min="2" max="2" width="10.88671875" style="11" customWidth="1"/>
    <col min="3" max="3" width="14.44140625" style="11" bestFit="1" customWidth="1"/>
    <col min="4" max="4" width="16.44140625" style="11" bestFit="1" customWidth="1"/>
    <col min="5" max="5" width="15.109375" style="11" bestFit="1" customWidth="1"/>
    <col min="6" max="8" width="11.21875" style="1"/>
    <col min="9" max="9" width="30.44140625" style="11" bestFit="1" customWidth="1"/>
    <col min="10" max="10" width="10.77734375" style="11" customWidth="1"/>
    <col min="11" max="11" width="14.44140625" style="11" bestFit="1" customWidth="1"/>
    <col min="12" max="12" width="16.44140625" style="11" bestFit="1" customWidth="1"/>
    <col min="13" max="13" width="11" style="11" customWidth="1"/>
    <col min="14" max="14" width="17.5546875" style="11" bestFit="1" customWidth="1"/>
    <col min="15" max="16384" width="11.21875" style="1"/>
  </cols>
  <sheetData>
    <row r="1" spans="1:14" ht="24.6" x14ac:dyDescent="0.4">
      <c r="A1" s="2" t="s">
        <v>3</v>
      </c>
      <c r="C1" s="1"/>
      <c r="D1" s="1"/>
      <c r="E1" s="1"/>
      <c r="I1" s="2" t="s">
        <v>13</v>
      </c>
      <c r="J1" s="1"/>
      <c r="K1" s="1"/>
      <c r="L1" s="1"/>
      <c r="M1" s="1"/>
      <c r="N1" s="1"/>
    </row>
    <row r="2" spans="1:14" x14ac:dyDescent="0.3">
      <c r="A2" s="1"/>
      <c r="B2" s="1"/>
      <c r="C2" s="1"/>
      <c r="D2" s="1"/>
      <c r="E2" s="1"/>
      <c r="I2" s="1"/>
      <c r="J2" s="1"/>
      <c r="K2" s="1"/>
      <c r="L2" s="1"/>
      <c r="M2" s="1"/>
      <c r="N2" s="1"/>
    </row>
    <row r="3" spans="1:14" s="25" customFormat="1" ht="25.05" customHeight="1" x14ac:dyDescent="0.3">
      <c r="A3" s="21" t="s">
        <v>0</v>
      </c>
      <c r="B3" s="22" t="s">
        <v>1</v>
      </c>
      <c r="C3" s="22" t="s">
        <v>2</v>
      </c>
      <c r="D3" s="22" t="s">
        <v>27</v>
      </c>
      <c r="E3" s="23" t="s">
        <v>11</v>
      </c>
      <c r="I3" s="21" t="s">
        <v>0</v>
      </c>
      <c r="J3" s="22" t="s">
        <v>1</v>
      </c>
      <c r="K3" s="22" t="s">
        <v>2</v>
      </c>
      <c r="L3" s="22" t="s">
        <v>27</v>
      </c>
      <c r="M3" s="22" t="s">
        <v>11</v>
      </c>
      <c r="N3" s="23" t="s">
        <v>16</v>
      </c>
    </row>
    <row r="4" spans="1:14" x14ac:dyDescent="0.3">
      <c r="A4" s="15">
        <v>1</v>
      </c>
      <c r="B4" s="5"/>
      <c r="C4" s="9">
        <v>76</v>
      </c>
      <c r="D4" s="5">
        <v>50</v>
      </c>
      <c r="E4" s="16" t="s">
        <v>9</v>
      </c>
      <c r="I4" s="15">
        <v>1</v>
      </c>
      <c r="J4" s="5"/>
      <c r="K4" s="8">
        <v>290</v>
      </c>
      <c r="L4" s="5">
        <v>50</v>
      </c>
      <c r="M4" s="5" t="s">
        <v>9</v>
      </c>
      <c r="N4" s="16" t="s">
        <v>12</v>
      </c>
    </row>
    <row r="5" spans="1:14" x14ac:dyDescent="0.3">
      <c r="A5" s="15">
        <v>1</v>
      </c>
      <c r="B5" s="5"/>
      <c r="C5" s="9">
        <v>67</v>
      </c>
      <c r="D5" s="5">
        <v>50</v>
      </c>
      <c r="E5" s="16" t="s">
        <v>9</v>
      </c>
      <c r="I5" s="15">
        <v>1</v>
      </c>
      <c r="J5" s="5"/>
      <c r="K5" s="8">
        <v>763</v>
      </c>
      <c r="L5" s="5">
        <v>50</v>
      </c>
      <c r="M5" s="5" t="s">
        <v>9</v>
      </c>
      <c r="N5" s="16" t="s">
        <v>12</v>
      </c>
    </row>
    <row r="6" spans="1:14" x14ac:dyDescent="0.3">
      <c r="A6" s="15">
        <v>1</v>
      </c>
      <c r="B6" s="5"/>
      <c r="C6" s="9">
        <v>75</v>
      </c>
      <c r="D6" s="5">
        <v>50</v>
      </c>
      <c r="E6" s="16" t="s">
        <v>9</v>
      </c>
      <c r="I6" s="15">
        <v>1</v>
      </c>
      <c r="J6" s="5"/>
      <c r="K6" s="8">
        <v>290</v>
      </c>
      <c r="L6" s="5">
        <v>50</v>
      </c>
      <c r="M6" s="5" t="s">
        <v>9</v>
      </c>
      <c r="N6" s="16" t="s">
        <v>8</v>
      </c>
    </row>
    <row r="7" spans="1:14" x14ac:dyDescent="0.3">
      <c r="A7" s="15">
        <v>1</v>
      </c>
      <c r="B7" s="5"/>
      <c r="C7" s="9">
        <v>57</v>
      </c>
      <c r="D7" s="5">
        <v>50</v>
      </c>
      <c r="E7" s="16" t="s">
        <v>9</v>
      </c>
      <c r="I7" s="15">
        <v>1</v>
      </c>
      <c r="J7" s="5"/>
      <c r="K7" s="8">
        <v>763</v>
      </c>
      <c r="L7" s="5">
        <v>50</v>
      </c>
      <c r="M7" s="5" t="s">
        <v>9</v>
      </c>
      <c r="N7" s="16" t="s">
        <v>8</v>
      </c>
    </row>
    <row r="8" spans="1:14" x14ac:dyDescent="0.3">
      <c r="A8" s="15">
        <v>1</v>
      </c>
      <c r="B8" s="5"/>
      <c r="C8" s="9">
        <v>64</v>
      </c>
      <c r="D8" s="5">
        <v>50</v>
      </c>
      <c r="E8" s="16" t="s">
        <v>9</v>
      </c>
      <c r="I8" s="15">
        <v>3</v>
      </c>
      <c r="J8" s="5"/>
      <c r="K8" s="8">
        <v>526</v>
      </c>
      <c r="L8" s="5">
        <v>50</v>
      </c>
      <c r="M8" s="5" t="s">
        <v>9</v>
      </c>
      <c r="N8" s="16" t="s">
        <v>8</v>
      </c>
    </row>
    <row r="9" spans="1:14" x14ac:dyDescent="0.3">
      <c r="A9" s="15">
        <v>1</v>
      </c>
      <c r="B9" s="5"/>
      <c r="C9" s="9">
        <v>46</v>
      </c>
      <c r="D9" s="5">
        <v>50</v>
      </c>
      <c r="E9" s="16" t="s">
        <v>9</v>
      </c>
      <c r="I9" s="15">
        <v>3</v>
      </c>
      <c r="J9" s="5"/>
      <c r="K9" s="8">
        <v>625</v>
      </c>
      <c r="L9" s="5">
        <v>50</v>
      </c>
      <c r="M9" s="5" t="s">
        <v>9</v>
      </c>
      <c r="N9" s="16" t="s">
        <v>8</v>
      </c>
    </row>
    <row r="10" spans="1:14" x14ac:dyDescent="0.3">
      <c r="A10" s="15">
        <v>1</v>
      </c>
      <c r="B10" s="5"/>
      <c r="C10" s="9">
        <v>65</v>
      </c>
      <c r="D10" s="5">
        <v>50</v>
      </c>
      <c r="E10" s="16" t="s">
        <v>9</v>
      </c>
      <c r="I10" s="15">
        <v>3</v>
      </c>
      <c r="J10" s="5"/>
      <c r="K10" s="8">
        <v>912</v>
      </c>
      <c r="L10" s="5">
        <v>50</v>
      </c>
      <c r="M10" s="5" t="s">
        <v>9</v>
      </c>
      <c r="N10" s="16" t="s">
        <v>8</v>
      </c>
    </row>
    <row r="11" spans="1:14" x14ac:dyDescent="0.3">
      <c r="A11" s="15">
        <v>1</v>
      </c>
      <c r="B11" s="5"/>
      <c r="C11" s="9">
        <v>56</v>
      </c>
      <c r="D11" s="5">
        <v>50</v>
      </c>
      <c r="E11" s="16" t="s">
        <v>9</v>
      </c>
      <c r="I11" s="15">
        <v>3</v>
      </c>
      <c r="J11" s="5"/>
      <c r="K11" s="8">
        <v>291</v>
      </c>
      <c r="L11" s="5">
        <v>50</v>
      </c>
      <c r="M11" s="5" t="s">
        <v>9</v>
      </c>
      <c r="N11" s="16" t="s">
        <v>8</v>
      </c>
    </row>
    <row r="12" spans="1:14" x14ac:dyDescent="0.3">
      <c r="A12" s="15">
        <v>1</v>
      </c>
      <c r="B12" s="5"/>
      <c r="C12" s="19">
        <v>33</v>
      </c>
      <c r="D12" s="5">
        <v>50</v>
      </c>
      <c r="E12" s="16" t="s">
        <v>9</v>
      </c>
      <c r="F12" s="11"/>
      <c r="G12" s="11"/>
      <c r="H12" s="11"/>
      <c r="I12" s="15">
        <v>3</v>
      </c>
      <c r="J12" s="5"/>
      <c r="K12" s="24">
        <v>219</v>
      </c>
      <c r="L12" s="5">
        <v>50</v>
      </c>
      <c r="M12" s="5" t="s">
        <v>9</v>
      </c>
      <c r="N12" s="16" t="s">
        <v>8</v>
      </c>
    </row>
    <row r="13" spans="1:14" x14ac:dyDescent="0.3">
      <c r="A13" s="15">
        <v>1</v>
      </c>
      <c r="B13" s="5"/>
      <c r="C13" s="19">
        <v>55</v>
      </c>
      <c r="D13" s="5">
        <v>50</v>
      </c>
      <c r="E13" s="16" t="s">
        <v>9</v>
      </c>
      <c r="I13" s="15">
        <v>3</v>
      </c>
      <c r="J13" s="5"/>
      <c r="K13" s="8">
        <v>526</v>
      </c>
      <c r="L13" s="5">
        <v>50</v>
      </c>
      <c r="M13" s="5" t="s">
        <v>9</v>
      </c>
      <c r="N13" s="16" t="s">
        <v>12</v>
      </c>
    </row>
    <row r="14" spans="1:14" x14ac:dyDescent="0.3">
      <c r="A14" s="15">
        <v>1</v>
      </c>
      <c r="B14" s="5"/>
      <c r="C14" s="19">
        <v>90</v>
      </c>
      <c r="D14" s="5">
        <v>50</v>
      </c>
      <c r="E14" s="16" t="s">
        <v>9</v>
      </c>
      <c r="I14" s="15">
        <v>3</v>
      </c>
      <c r="J14" s="5"/>
      <c r="K14" s="8">
        <v>625</v>
      </c>
      <c r="L14" s="5">
        <v>50</v>
      </c>
      <c r="M14" s="5" t="s">
        <v>9</v>
      </c>
      <c r="N14" s="16" t="s">
        <v>12</v>
      </c>
    </row>
    <row r="15" spans="1:14" x14ac:dyDescent="0.3">
      <c r="A15" s="15">
        <v>1</v>
      </c>
      <c r="B15" s="5"/>
      <c r="C15" s="19">
        <v>9</v>
      </c>
      <c r="D15" s="5">
        <v>50</v>
      </c>
      <c r="E15" s="16" t="s">
        <v>9</v>
      </c>
      <c r="I15" s="15">
        <v>3</v>
      </c>
      <c r="J15" s="5"/>
      <c r="K15" s="8">
        <v>912</v>
      </c>
      <c r="L15" s="5">
        <v>50</v>
      </c>
      <c r="M15" s="5" t="s">
        <v>9</v>
      </c>
      <c r="N15" s="16" t="s">
        <v>12</v>
      </c>
    </row>
    <row r="16" spans="1:14" x14ac:dyDescent="0.3">
      <c r="A16" s="15">
        <v>1</v>
      </c>
      <c r="B16" s="5"/>
      <c r="C16" s="19">
        <v>25</v>
      </c>
      <c r="D16" s="5">
        <v>50</v>
      </c>
      <c r="E16" s="16" t="s">
        <v>9</v>
      </c>
      <c r="I16" s="15">
        <v>3</v>
      </c>
      <c r="J16" s="5"/>
      <c r="K16" s="8">
        <v>291</v>
      </c>
      <c r="L16" s="5">
        <v>50</v>
      </c>
      <c r="M16" s="5" t="s">
        <v>9</v>
      </c>
      <c r="N16" s="16" t="s">
        <v>12</v>
      </c>
    </row>
    <row r="17" spans="1:14" x14ac:dyDescent="0.3">
      <c r="A17" s="15">
        <v>1</v>
      </c>
      <c r="B17" s="5"/>
      <c r="C17" s="19">
        <v>52</v>
      </c>
      <c r="D17" s="5">
        <v>50</v>
      </c>
      <c r="E17" s="16" t="s">
        <v>9</v>
      </c>
      <c r="I17" s="15">
        <v>3</v>
      </c>
      <c r="J17" s="5"/>
      <c r="K17" s="24">
        <v>219</v>
      </c>
      <c r="L17" s="5">
        <v>50</v>
      </c>
      <c r="M17" s="5" t="s">
        <v>9</v>
      </c>
      <c r="N17" s="16" t="s">
        <v>12</v>
      </c>
    </row>
    <row r="18" spans="1:14" x14ac:dyDescent="0.3">
      <c r="A18" s="15">
        <v>1</v>
      </c>
      <c r="B18" s="5"/>
      <c r="C18" s="9">
        <v>76</v>
      </c>
      <c r="D18" s="5">
        <v>50</v>
      </c>
      <c r="E18" s="16" t="s">
        <v>10</v>
      </c>
      <c r="I18" s="17">
        <v>4</v>
      </c>
      <c r="J18" s="18"/>
      <c r="K18" s="24">
        <v>310</v>
      </c>
      <c r="L18" s="18">
        <v>50</v>
      </c>
      <c r="M18" s="5" t="s">
        <v>9</v>
      </c>
      <c r="N18" s="20" t="s">
        <v>8</v>
      </c>
    </row>
    <row r="19" spans="1:14" x14ac:dyDescent="0.3">
      <c r="A19" s="15">
        <v>1</v>
      </c>
      <c r="B19" s="5"/>
      <c r="C19" s="9">
        <v>67</v>
      </c>
      <c r="D19" s="5">
        <v>50</v>
      </c>
      <c r="E19" s="16" t="s">
        <v>10</v>
      </c>
      <c r="I19" s="17">
        <v>4</v>
      </c>
      <c r="J19" s="18"/>
      <c r="K19" s="24">
        <v>301</v>
      </c>
      <c r="L19" s="18">
        <v>50</v>
      </c>
      <c r="M19" s="5" t="s">
        <v>9</v>
      </c>
      <c r="N19" s="20" t="s">
        <v>8</v>
      </c>
    </row>
    <row r="20" spans="1:14" x14ac:dyDescent="0.3">
      <c r="A20" s="15">
        <v>1</v>
      </c>
      <c r="B20" s="5"/>
      <c r="C20" s="9">
        <v>75</v>
      </c>
      <c r="D20" s="5">
        <v>50</v>
      </c>
      <c r="E20" s="16" t="s">
        <v>10</v>
      </c>
      <c r="I20" s="17">
        <v>4</v>
      </c>
      <c r="J20" s="18"/>
      <c r="K20" s="24">
        <v>130</v>
      </c>
      <c r="L20" s="18">
        <v>50</v>
      </c>
      <c r="M20" s="5" t="s">
        <v>9</v>
      </c>
      <c r="N20" s="20" t="s">
        <v>8</v>
      </c>
    </row>
    <row r="21" spans="1:14" x14ac:dyDescent="0.3">
      <c r="A21" s="15">
        <v>1</v>
      </c>
      <c r="B21" s="5"/>
      <c r="C21" s="9">
        <v>57</v>
      </c>
      <c r="D21" s="5">
        <v>50</v>
      </c>
      <c r="E21" s="16" t="s">
        <v>10</v>
      </c>
      <c r="I21" s="17">
        <v>4</v>
      </c>
      <c r="J21" s="18"/>
      <c r="K21" s="24">
        <v>103</v>
      </c>
      <c r="L21" s="18">
        <v>50</v>
      </c>
      <c r="M21" s="5" t="s">
        <v>9</v>
      </c>
      <c r="N21" s="20" t="s">
        <v>8</v>
      </c>
    </row>
    <row r="22" spans="1:14" x14ac:dyDescent="0.3">
      <c r="A22" s="15">
        <v>1</v>
      </c>
      <c r="B22" s="5"/>
      <c r="C22" s="9">
        <v>64</v>
      </c>
      <c r="D22" s="5">
        <v>50</v>
      </c>
      <c r="E22" s="16" t="s">
        <v>10</v>
      </c>
      <c r="I22" s="17">
        <v>4</v>
      </c>
      <c r="J22" s="18"/>
      <c r="K22" s="24">
        <v>13</v>
      </c>
      <c r="L22" s="18">
        <v>50</v>
      </c>
      <c r="M22" s="5" t="s">
        <v>9</v>
      </c>
      <c r="N22" s="20" t="s">
        <v>8</v>
      </c>
    </row>
    <row r="23" spans="1:14" x14ac:dyDescent="0.3">
      <c r="A23" s="15">
        <v>1</v>
      </c>
      <c r="B23" s="5"/>
      <c r="C23" s="9">
        <v>46</v>
      </c>
      <c r="D23" s="5">
        <v>50</v>
      </c>
      <c r="E23" s="16" t="s">
        <v>10</v>
      </c>
      <c r="I23" s="17">
        <v>4</v>
      </c>
      <c r="J23" s="18"/>
      <c r="K23" s="24">
        <v>31</v>
      </c>
      <c r="L23" s="18">
        <v>50</v>
      </c>
      <c r="M23" s="5" t="s">
        <v>9</v>
      </c>
      <c r="N23" s="20" t="s">
        <v>8</v>
      </c>
    </row>
    <row r="24" spans="1:14" x14ac:dyDescent="0.3">
      <c r="A24" s="15">
        <v>1</v>
      </c>
      <c r="B24" s="5"/>
      <c r="C24" s="9">
        <v>65</v>
      </c>
      <c r="D24" s="5">
        <v>50</v>
      </c>
      <c r="E24" s="16" t="s">
        <v>10</v>
      </c>
      <c r="I24" s="17">
        <v>5</v>
      </c>
      <c r="J24" s="18"/>
      <c r="K24" s="24">
        <v>973</v>
      </c>
      <c r="L24" s="18">
        <v>20</v>
      </c>
      <c r="M24" s="5" t="s">
        <v>9</v>
      </c>
      <c r="N24" s="20" t="s">
        <v>8</v>
      </c>
    </row>
    <row r="25" spans="1:14" x14ac:dyDescent="0.3">
      <c r="A25" s="15">
        <v>1</v>
      </c>
      <c r="B25" s="5"/>
      <c r="C25" s="9">
        <v>56</v>
      </c>
      <c r="D25" s="5">
        <v>50</v>
      </c>
      <c r="E25" s="16" t="s">
        <v>10</v>
      </c>
      <c r="I25" s="17">
        <v>5</v>
      </c>
      <c r="J25" s="18"/>
      <c r="K25" s="24">
        <v>857</v>
      </c>
      <c r="L25" s="18">
        <v>20</v>
      </c>
      <c r="M25" s="5" t="s">
        <v>9</v>
      </c>
      <c r="N25" s="20" t="s">
        <v>8</v>
      </c>
    </row>
    <row r="26" spans="1:14" x14ac:dyDescent="0.3">
      <c r="A26" s="15">
        <v>1</v>
      </c>
      <c r="B26" s="5"/>
      <c r="C26" s="9">
        <v>33</v>
      </c>
      <c r="D26" s="5">
        <v>50</v>
      </c>
      <c r="E26" s="16" t="s">
        <v>10</v>
      </c>
      <c r="I26" s="17">
        <v>5</v>
      </c>
      <c r="J26" s="18"/>
      <c r="K26" s="24">
        <v>973</v>
      </c>
      <c r="L26" s="18">
        <v>20</v>
      </c>
      <c r="M26" s="5" t="s">
        <v>9</v>
      </c>
      <c r="N26" s="16" t="s">
        <v>12</v>
      </c>
    </row>
    <row r="27" spans="1:14" x14ac:dyDescent="0.3">
      <c r="A27" s="15">
        <v>1</v>
      </c>
      <c r="B27" s="5"/>
      <c r="C27" s="9">
        <v>55</v>
      </c>
      <c r="D27" s="5">
        <v>50</v>
      </c>
      <c r="E27" s="16" t="s">
        <v>10</v>
      </c>
      <c r="I27" s="17">
        <v>5</v>
      </c>
      <c r="J27" s="18"/>
      <c r="K27" s="24">
        <v>857</v>
      </c>
      <c r="L27" s="18">
        <v>20</v>
      </c>
      <c r="M27" s="5" t="s">
        <v>9</v>
      </c>
      <c r="N27" s="16" t="s">
        <v>12</v>
      </c>
    </row>
    <row r="28" spans="1:14" x14ac:dyDescent="0.3">
      <c r="A28" s="15">
        <v>1</v>
      </c>
      <c r="B28" s="5"/>
      <c r="C28" s="9">
        <v>90</v>
      </c>
      <c r="D28" s="5">
        <v>50</v>
      </c>
      <c r="E28" s="16" t="s">
        <v>10</v>
      </c>
      <c r="I28" s="17">
        <v>4</v>
      </c>
      <c r="J28" s="18"/>
      <c r="K28" s="24">
        <v>310</v>
      </c>
      <c r="L28" s="18">
        <v>50</v>
      </c>
      <c r="M28" s="5" t="s">
        <v>10</v>
      </c>
      <c r="N28" s="20" t="s">
        <v>8</v>
      </c>
    </row>
    <row r="29" spans="1:14" x14ac:dyDescent="0.3">
      <c r="A29" s="15">
        <v>1</v>
      </c>
      <c r="B29" s="5"/>
      <c r="C29" s="9">
        <v>9</v>
      </c>
      <c r="D29" s="5">
        <v>50</v>
      </c>
      <c r="E29" s="16" t="s">
        <v>10</v>
      </c>
      <c r="I29" s="17">
        <v>7</v>
      </c>
      <c r="J29" s="18"/>
      <c r="K29" s="24">
        <v>449</v>
      </c>
      <c r="L29" s="18">
        <v>0</v>
      </c>
      <c r="M29" s="18" t="s">
        <v>9</v>
      </c>
      <c r="N29" s="20" t="s">
        <v>8</v>
      </c>
    </row>
    <row r="30" spans="1:14" x14ac:dyDescent="0.3">
      <c r="A30" s="15">
        <v>1</v>
      </c>
      <c r="B30" s="5"/>
      <c r="C30" s="9">
        <v>25</v>
      </c>
      <c r="D30" s="5">
        <v>50</v>
      </c>
      <c r="E30" s="16" t="s">
        <v>10</v>
      </c>
      <c r="I30" s="17">
        <v>7</v>
      </c>
      <c r="J30" s="18"/>
      <c r="K30" s="24">
        <v>494</v>
      </c>
      <c r="L30" s="18">
        <v>0</v>
      </c>
      <c r="M30" s="18" t="s">
        <v>9</v>
      </c>
      <c r="N30" s="20" t="s">
        <v>8</v>
      </c>
    </row>
    <row r="31" spans="1:14" x14ac:dyDescent="0.3">
      <c r="A31" s="15">
        <v>1</v>
      </c>
      <c r="B31" s="5"/>
      <c r="C31" s="19">
        <v>52</v>
      </c>
      <c r="D31" s="5">
        <v>50</v>
      </c>
      <c r="E31" s="16" t="s">
        <v>10</v>
      </c>
      <c r="I31" s="17">
        <v>7</v>
      </c>
      <c r="J31" s="18"/>
      <c r="K31" s="24">
        <v>944</v>
      </c>
      <c r="L31" s="18">
        <v>0</v>
      </c>
      <c r="M31" s="18" t="s">
        <v>9</v>
      </c>
      <c r="N31" s="20" t="s">
        <v>8</v>
      </c>
    </row>
    <row r="32" spans="1:14" x14ac:dyDescent="0.3">
      <c r="A32" s="17">
        <v>2</v>
      </c>
      <c r="B32" s="18"/>
      <c r="C32" s="19">
        <v>22</v>
      </c>
      <c r="D32" s="5">
        <v>50</v>
      </c>
      <c r="E32" s="20" t="s">
        <v>9</v>
      </c>
      <c r="I32" s="17">
        <v>7</v>
      </c>
      <c r="J32" s="18"/>
      <c r="K32" s="24">
        <v>937</v>
      </c>
      <c r="L32" s="18">
        <v>100</v>
      </c>
      <c r="M32" s="18" t="s">
        <v>10</v>
      </c>
      <c r="N32" s="20" t="s">
        <v>8</v>
      </c>
    </row>
    <row r="33" spans="1:14" x14ac:dyDescent="0.3">
      <c r="A33" s="17">
        <v>2</v>
      </c>
      <c r="B33" s="18"/>
      <c r="C33" s="19">
        <v>23</v>
      </c>
      <c r="D33" s="5">
        <v>50</v>
      </c>
      <c r="E33" s="20" t="s">
        <v>9</v>
      </c>
      <c r="I33" s="17">
        <v>7</v>
      </c>
      <c r="J33" s="18"/>
      <c r="K33" s="24">
        <v>973</v>
      </c>
      <c r="L33" s="18">
        <v>100</v>
      </c>
      <c r="M33" s="18" t="s">
        <v>10</v>
      </c>
      <c r="N33" s="20" t="s">
        <v>8</v>
      </c>
    </row>
    <row r="34" spans="1:14" x14ac:dyDescent="0.3">
      <c r="A34" s="17">
        <v>2</v>
      </c>
      <c r="B34" s="18"/>
      <c r="C34" s="19">
        <v>32</v>
      </c>
      <c r="D34" s="5">
        <v>50</v>
      </c>
      <c r="E34" s="20" t="s">
        <v>9</v>
      </c>
      <c r="I34" s="17">
        <v>7</v>
      </c>
      <c r="J34" s="18"/>
      <c r="K34" s="24">
        <v>397</v>
      </c>
      <c r="L34" s="18">
        <v>100</v>
      </c>
      <c r="M34" s="18" t="s">
        <v>10</v>
      </c>
      <c r="N34" s="20" t="s">
        <v>8</v>
      </c>
    </row>
    <row r="35" spans="1:14" x14ac:dyDescent="0.3">
      <c r="A35" s="17">
        <v>2</v>
      </c>
      <c r="B35" s="18"/>
      <c r="C35" s="19">
        <v>22</v>
      </c>
      <c r="D35" s="5">
        <v>50</v>
      </c>
      <c r="E35" s="20" t="s">
        <v>10</v>
      </c>
      <c r="I35" s="17">
        <v>7</v>
      </c>
      <c r="J35" s="18"/>
      <c r="K35" s="24">
        <v>379</v>
      </c>
      <c r="L35" s="18">
        <v>100</v>
      </c>
      <c r="M35" s="18" t="s">
        <v>10</v>
      </c>
      <c r="N35" s="20" t="s">
        <v>8</v>
      </c>
    </row>
    <row r="36" spans="1:14" x14ac:dyDescent="0.3">
      <c r="A36" s="17">
        <v>2</v>
      </c>
      <c r="B36" s="18"/>
      <c r="C36" s="19">
        <v>23</v>
      </c>
      <c r="D36" s="5">
        <v>50</v>
      </c>
      <c r="E36" s="20" t="s">
        <v>10</v>
      </c>
      <c r="I36" s="17">
        <v>7</v>
      </c>
      <c r="J36" s="18"/>
      <c r="K36" s="24">
        <v>793</v>
      </c>
      <c r="L36" s="18">
        <v>100</v>
      </c>
      <c r="M36" s="18" t="s">
        <v>10</v>
      </c>
      <c r="N36" s="20" t="s">
        <v>8</v>
      </c>
    </row>
    <row r="37" spans="1:14" x14ac:dyDescent="0.3">
      <c r="A37" s="17">
        <v>2</v>
      </c>
      <c r="B37" s="18"/>
      <c r="C37" s="19">
        <v>32</v>
      </c>
      <c r="D37" s="5">
        <v>50</v>
      </c>
      <c r="E37" s="20" t="s">
        <v>10</v>
      </c>
      <c r="I37" s="17">
        <v>7</v>
      </c>
      <c r="J37" s="18"/>
      <c r="K37" s="24">
        <v>739</v>
      </c>
      <c r="L37" s="18">
        <v>100</v>
      </c>
      <c r="M37" s="18" t="s">
        <v>10</v>
      </c>
      <c r="N37" s="20" t="s">
        <v>8</v>
      </c>
    </row>
    <row r="38" spans="1:14" x14ac:dyDescent="0.3">
      <c r="A38" s="17">
        <v>3</v>
      </c>
      <c r="B38" s="18"/>
      <c r="C38" s="19">
        <v>19</v>
      </c>
      <c r="D38" s="18">
        <v>300</v>
      </c>
      <c r="E38" s="20" t="s">
        <v>9</v>
      </c>
      <c r="I38" s="17">
        <v>7</v>
      </c>
      <c r="J38" s="18"/>
      <c r="K38" s="24">
        <v>637</v>
      </c>
      <c r="L38" s="18">
        <v>100</v>
      </c>
      <c r="M38" s="18" t="s">
        <v>10</v>
      </c>
      <c r="N38" s="20" t="s">
        <v>8</v>
      </c>
    </row>
    <row r="39" spans="1:14" x14ac:dyDescent="0.3">
      <c r="A39" s="17">
        <v>3</v>
      </c>
      <c r="B39" s="18"/>
      <c r="C39" s="19">
        <v>91</v>
      </c>
      <c r="D39" s="18">
        <v>300</v>
      </c>
      <c r="E39" s="20" t="s">
        <v>9</v>
      </c>
      <c r="I39" s="17">
        <v>7</v>
      </c>
      <c r="J39" s="18"/>
      <c r="K39" s="24">
        <v>673</v>
      </c>
      <c r="L39" s="18">
        <v>100</v>
      </c>
      <c r="M39" s="18" t="s">
        <v>10</v>
      </c>
      <c r="N39" s="20" t="s">
        <v>8</v>
      </c>
    </row>
    <row r="40" spans="1:14" x14ac:dyDescent="0.3">
      <c r="A40" s="17">
        <v>3</v>
      </c>
      <c r="B40" s="18"/>
      <c r="C40" s="19">
        <v>26</v>
      </c>
      <c r="D40" s="18">
        <v>300</v>
      </c>
      <c r="E40" s="20" t="s">
        <v>9</v>
      </c>
      <c r="I40" s="17">
        <v>7</v>
      </c>
      <c r="J40" s="18"/>
      <c r="K40" s="24">
        <v>367</v>
      </c>
      <c r="L40" s="18">
        <v>100</v>
      </c>
      <c r="M40" s="18" t="s">
        <v>10</v>
      </c>
      <c r="N40" s="20" t="s">
        <v>8</v>
      </c>
    </row>
    <row r="41" spans="1:14" x14ac:dyDescent="0.3">
      <c r="A41" s="17">
        <v>3</v>
      </c>
      <c r="B41" s="18"/>
      <c r="C41" s="19">
        <v>62</v>
      </c>
      <c r="D41" s="18">
        <v>300</v>
      </c>
      <c r="E41" s="20" t="s">
        <v>9</v>
      </c>
      <c r="I41" s="17">
        <v>7</v>
      </c>
      <c r="J41" s="18"/>
      <c r="K41" s="24">
        <v>376</v>
      </c>
      <c r="L41" s="18">
        <v>100</v>
      </c>
      <c r="M41" s="18" t="s">
        <v>10</v>
      </c>
      <c r="N41" s="20" t="s">
        <v>8</v>
      </c>
    </row>
    <row r="42" spans="1:14" x14ac:dyDescent="0.3">
      <c r="A42" s="17">
        <v>3</v>
      </c>
      <c r="B42" s="18"/>
      <c r="C42" s="19">
        <v>19</v>
      </c>
      <c r="D42" s="18">
        <v>300</v>
      </c>
      <c r="E42" s="20" t="s">
        <v>10</v>
      </c>
      <c r="I42" s="17">
        <v>7</v>
      </c>
      <c r="J42" s="18"/>
      <c r="K42" s="24">
        <v>763</v>
      </c>
      <c r="L42" s="18">
        <v>100</v>
      </c>
      <c r="M42" s="18" t="s">
        <v>10</v>
      </c>
      <c r="N42" s="20" t="s">
        <v>8</v>
      </c>
    </row>
    <row r="43" spans="1:14" x14ac:dyDescent="0.3">
      <c r="A43" s="17">
        <v>3</v>
      </c>
      <c r="B43" s="18"/>
      <c r="C43" s="19">
        <v>91</v>
      </c>
      <c r="D43" s="18">
        <v>300</v>
      </c>
      <c r="E43" s="20" t="s">
        <v>10</v>
      </c>
      <c r="I43" s="17">
        <v>7</v>
      </c>
      <c r="J43" s="18"/>
      <c r="K43" s="24">
        <v>735</v>
      </c>
      <c r="L43" s="18">
        <v>100</v>
      </c>
      <c r="M43" s="18" t="s">
        <v>10</v>
      </c>
      <c r="N43" s="20" t="s">
        <v>8</v>
      </c>
    </row>
    <row r="44" spans="1:14" x14ac:dyDescent="0.3">
      <c r="A44" s="17">
        <v>3</v>
      </c>
      <c r="B44" s="18"/>
      <c r="C44" s="19">
        <v>26</v>
      </c>
      <c r="D44" s="18">
        <v>300</v>
      </c>
      <c r="E44" s="20" t="s">
        <v>10</v>
      </c>
      <c r="I44" s="17">
        <v>9</v>
      </c>
      <c r="J44" s="18"/>
      <c r="K44" s="24">
        <v>425</v>
      </c>
      <c r="L44" s="18">
        <v>100</v>
      </c>
      <c r="M44" s="18" t="s">
        <v>9</v>
      </c>
      <c r="N44" s="20" t="s">
        <v>8</v>
      </c>
    </row>
    <row r="45" spans="1:14" x14ac:dyDescent="0.3">
      <c r="A45" s="17">
        <v>3</v>
      </c>
      <c r="B45" s="18"/>
      <c r="C45" s="19">
        <v>62</v>
      </c>
      <c r="D45" s="18">
        <v>300</v>
      </c>
      <c r="E45" s="20" t="s">
        <v>10</v>
      </c>
      <c r="I45" s="17">
        <v>9</v>
      </c>
      <c r="J45" s="18"/>
      <c r="K45" s="24">
        <v>391</v>
      </c>
      <c r="L45" s="18">
        <v>100</v>
      </c>
      <c r="M45" s="18" t="s">
        <v>9</v>
      </c>
      <c r="N45" s="20" t="s">
        <v>8</v>
      </c>
    </row>
    <row r="46" spans="1:14" x14ac:dyDescent="0.3">
      <c r="A46" s="17">
        <v>4</v>
      </c>
      <c r="B46" s="18"/>
      <c r="C46" s="19">
        <v>25</v>
      </c>
      <c r="D46" s="18">
        <v>20</v>
      </c>
      <c r="E46" s="20" t="s">
        <v>9</v>
      </c>
      <c r="I46" s="17">
        <v>9</v>
      </c>
      <c r="J46" s="18"/>
      <c r="K46" s="24">
        <v>791</v>
      </c>
      <c r="L46" s="18">
        <v>100</v>
      </c>
      <c r="M46" s="18" t="s">
        <v>9</v>
      </c>
      <c r="N46" s="20" t="s">
        <v>8</v>
      </c>
    </row>
    <row r="47" spans="1:14" x14ac:dyDescent="0.3">
      <c r="A47" s="17">
        <v>4</v>
      </c>
      <c r="B47" s="18"/>
      <c r="C47" s="19">
        <v>23</v>
      </c>
      <c r="D47" s="18">
        <v>20</v>
      </c>
      <c r="E47" s="20" t="s">
        <v>9</v>
      </c>
      <c r="I47" s="17">
        <v>9</v>
      </c>
      <c r="J47" s="18"/>
      <c r="K47" s="24">
        <v>891</v>
      </c>
      <c r="L47" s="18">
        <v>100</v>
      </c>
      <c r="M47" s="18" t="s">
        <v>9</v>
      </c>
      <c r="N47" s="20" t="s">
        <v>8</v>
      </c>
    </row>
    <row r="48" spans="1:14" x14ac:dyDescent="0.3">
      <c r="A48" s="17">
        <v>4</v>
      </c>
      <c r="B48" s="18"/>
      <c r="C48" s="19">
        <v>8</v>
      </c>
      <c r="D48" s="18">
        <v>20</v>
      </c>
      <c r="E48" s="20" t="s">
        <v>9</v>
      </c>
      <c r="I48" s="17">
        <v>9</v>
      </c>
      <c r="J48" s="18"/>
      <c r="K48" s="24">
        <v>945</v>
      </c>
      <c r="L48" s="18">
        <v>100</v>
      </c>
      <c r="M48" s="18" t="s">
        <v>9</v>
      </c>
      <c r="N48" s="20" t="s">
        <v>8</v>
      </c>
    </row>
    <row r="49" spans="1:14" x14ac:dyDescent="0.3">
      <c r="A49" s="17">
        <v>4</v>
      </c>
      <c r="B49" s="18"/>
      <c r="C49" s="9">
        <v>25</v>
      </c>
      <c r="D49" s="18">
        <v>20</v>
      </c>
      <c r="E49" s="16" t="s">
        <v>10</v>
      </c>
      <c r="I49" s="17">
        <v>9</v>
      </c>
      <c r="J49" s="18"/>
      <c r="K49" s="24">
        <v>239</v>
      </c>
      <c r="L49" s="18">
        <v>100</v>
      </c>
      <c r="M49" s="18" t="s">
        <v>9</v>
      </c>
      <c r="N49" s="20" t="s">
        <v>8</v>
      </c>
    </row>
    <row r="50" spans="1:14" x14ac:dyDescent="0.3">
      <c r="A50" s="17">
        <v>4</v>
      </c>
      <c r="B50" s="18"/>
      <c r="C50" s="9">
        <v>23</v>
      </c>
      <c r="D50" s="18">
        <v>20</v>
      </c>
      <c r="E50" s="16" t="s">
        <v>10</v>
      </c>
      <c r="I50" s="17">
        <v>9</v>
      </c>
      <c r="J50" s="18"/>
      <c r="K50" s="24">
        <v>45</v>
      </c>
      <c r="L50" s="18">
        <v>100</v>
      </c>
      <c r="M50" s="18" t="s">
        <v>9</v>
      </c>
      <c r="N50" s="20" t="s">
        <v>8</v>
      </c>
    </row>
    <row r="51" spans="1:14" x14ac:dyDescent="0.3">
      <c r="A51" s="17">
        <v>4</v>
      </c>
      <c r="B51" s="18"/>
      <c r="C51" s="19">
        <v>8</v>
      </c>
      <c r="D51" s="18">
        <v>20</v>
      </c>
      <c r="E51" s="16" t="s">
        <v>10</v>
      </c>
      <c r="I51" s="17">
        <v>9</v>
      </c>
      <c r="J51" s="18"/>
      <c r="K51" s="24">
        <v>245</v>
      </c>
      <c r="L51" s="18">
        <v>100</v>
      </c>
      <c r="M51" s="18" t="s">
        <v>9</v>
      </c>
      <c r="N51" s="20" t="s">
        <v>8</v>
      </c>
    </row>
    <row r="52" spans="1:14" x14ac:dyDescent="0.3">
      <c r="A52" s="17">
        <v>5</v>
      </c>
      <c r="B52" s="18"/>
      <c r="C52" s="19">
        <v>75</v>
      </c>
      <c r="D52" s="18">
        <v>50</v>
      </c>
      <c r="E52" s="20" t="s">
        <v>9</v>
      </c>
      <c r="I52" s="17">
        <v>9</v>
      </c>
      <c r="J52" s="18"/>
      <c r="K52" s="24">
        <v>824</v>
      </c>
      <c r="L52" s="18">
        <v>100</v>
      </c>
      <c r="M52" s="18" t="s">
        <v>9</v>
      </c>
      <c r="N52" s="20" t="s">
        <v>8</v>
      </c>
    </row>
    <row r="53" spans="1:14" x14ac:dyDescent="0.3">
      <c r="A53" s="17">
        <v>5</v>
      </c>
      <c r="B53" s="18"/>
      <c r="C53" s="19">
        <v>57</v>
      </c>
      <c r="D53" s="18">
        <v>50</v>
      </c>
      <c r="E53" s="20" t="s">
        <v>9</v>
      </c>
      <c r="I53" s="17">
        <v>9</v>
      </c>
      <c r="J53" s="18"/>
      <c r="K53" s="24">
        <v>863</v>
      </c>
      <c r="L53" s="18">
        <v>100</v>
      </c>
      <c r="M53" s="18" t="s">
        <v>9</v>
      </c>
      <c r="N53" s="20" t="s">
        <v>8</v>
      </c>
    </row>
    <row r="54" spans="1:14" x14ac:dyDescent="0.3">
      <c r="A54" s="17">
        <v>5</v>
      </c>
      <c r="B54" s="18"/>
      <c r="C54" s="19">
        <v>74</v>
      </c>
      <c r="D54" s="18">
        <v>50</v>
      </c>
      <c r="E54" s="20" t="s">
        <v>9</v>
      </c>
      <c r="I54" s="17">
        <v>9</v>
      </c>
      <c r="J54" s="18"/>
      <c r="K54" s="24">
        <v>724</v>
      </c>
      <c r="L54" s="18">
        <v>100</v>
      </c>
      <c r="M54" s="18" t="s">
        <v>9</v>
      </c>
      <c r="N54" s="20" t="s">
        <v>8</v>
      </c>
    </row>
    <row r="55" spans="1:14" x14ac:dyDescent="0.3">
      <c r="A55" s="17">
        <v>5</v>
      </c>
      <c r="B55" s="18"/>
      <c r="C55" s="19">
        <v>48</v>
      </c>
      <c r="D55" s="18">
        <v>30</v>
      </c>
      <c r="E55" s="20" t="s">
        <v>9</v>
      </c>
      <c r="I55" s="17">
        <v>9</v>
      </c>
      <c r="J55" s="18"/>
      <c r="K55" s="24">
        <v>91</v>
      </c>
      <c r="L55" s="18">
        <v>100</v>
      </c>
      <c r="M55" s="18" t="s">
        <v>9</v>
      </c>
      <c r="N55" s="20" t="s">
        <v>8</v>
      </c>
    </row>
    <row r="56" spans="1:14" x14ac:dyDescent="0.3">
      <c r="A56" s="17">
        <v>5</v>
      </c>
      <c r="B56" s="18"/>
      <c r="C56" s="19">
        <v>61</v>
      </c>
      <c r="D56" s="18">
        <v>30</v>
      </c>
      <c r="E56" s="20" t="s">
        <v>9</v>
      </c>
      <c r="I56" s="17">
        <v>9</v>
      </c>
      <c r="J56" s="18"/>
      <c r="K56" s="24">
        <v>93</v>
      </c>
      <c r="L56" s="18">
        <v>100</v>
      </c>
      <c r="M56" s="18" t="s">
        <v>9</v>
      </c>
      <c r="N56" s="20" t="s">
        <v>8</v>
      </c>
    </row>
    <row r="57" spans="1:14" x14ac:dyDescent="0.3">
      <c r="A57" s="17">
        <v>5</v>
      </c>
      <c r="B57" s="18"/>
      <c r="C57" s="19">
        <v>30</v>
      </c>
      <c r="D57" s="18">
        <v>30</v>
      </c>
      <c r="E57" s="20" t="s">
        <v>9</v>
      </c>
      <c r="I57" s="17">
        <v>9</v>
      </c>
      <c r="J57" s="18"/>
      <c r="K57" s="24">
        <v>863</v>
      </c>
      <c r="L57" s="18">
        <v>100</v>
      </c>
      <c r="M57" s="18" t="s">
        <v>9</v>
      </c>
      <c r="N57" s="20" t="s">
        <v>8</v>
      </c>
    </row>
    <row r="58" spans="1:14" x14ac:dyDescent="0.3">
      <c r="A58" s="17">
        <v>5</v>
      </c>
      <c r="B58" s="18"/>
      <c r="C58" s="19">
        <v>18</v>
      </c>
      <c r="D58" s="18">
        <v>30</v>
      </c>
      <c r="E58" s="20" t="s">
        <v>9</v>
      </c>
      <c r="I58" s="17">
        <v>9</v>
      </c>
      <c r="J58" s="18"/>
      <c r="K58" s="8">
        <v>425</v>
      </c>
      <c r="L58" s="18">
        <v>100</v>
      </c>
      <c r="M58" s="18" t="s">
        <v>9</v>
      </c>
      <c r="N58" s="16" t="s">
        <v>12</v>
      </c>
    </row>
    <row r="59" spans="1:14" x14ac:dyDescent="0.3">
      <c r="A59" s="17">
        <v>5</v>
      </c>
      <c r="B59" s="18"/>
      <c r="C59" s="19">
        <v>73</v>
      </c>
      <c r="D59" s="18">
        <v>30</v>
      </c>
      <c r="E59" s="20" t="s">
        <v>9</v>
      </c>
      <c r="I59" s="17">
        <v>9</v>
      </c>
      <c r="J59" s="18"/>
      <c r="K59" s="8">
        <v>391</v>
      </c>
      <c r="L59" s="18">
        <v>100</v>
      </c>
      <c r="M59" s="18" t="s">
        <v>9</v>
      </c>
      <c r="N59" s="16" t="s">
        <v>12</v>
      </c>
    </row>
    <row r="60" spans="1:14" x14ac:dyDescent="0.3">
      <c r="A60" s="17">
        <v>5</v>
      </c>
      <c r="B60" s="18"/>
      <c r="C60" s="19">
        <v>31</v>
      </c>
      <c r="D60" s="18">
        <v>30</v>
      </c>
      <c r="E60" s="20" t="s">
        <v>10</v>
      </c>
      <c r="I60" s="17">
        <v>9</v>
      </c>
      <c r="J60" s="18"/>
      <c r="K60" s="8">
        <v>791</v>
      </c>
      <c r="L60" s="18">
        <v>100</v>
      </c>
      <c r="M60" s="18" t="s">
        <v>9</v>
      </c>
      <c r="N60" s="16" t="s">
        <v>12</v>
      </c>
    </row>
    <row r="61" spans="1:14" x14ac:dyDescent="0.3">
      <c r="A61" s="17">
        <v>5</v>
      </c>
      <c r="B61" s="18"/>
      <c r="C61" s="19">
        <v>36</v>
      </c>
      <c r="D61" s="18">
        <v>30</v>
      </c>
      <c r="E61" s="20" t="s">
        <v>10</v>
      </c>
      <c r="I61" s="17">
        <v>9</v>
      </c>
      <c r="J61" s="18"/>
      <c r="K61" s="8">
        <v>891</v>
      </c>
      <c r="L61" s="18">
        <v>100</v>
      </c>
      <c r="M61" s="18" t="s">
        <v>9</v>
      </c>
      <c r="N61" s="16" t="s">
        <v>12</v>
      </c>
    </row>
    <row r="62" spans="1:14" x14ac:dyDescent="0.3">
      <c r="A62" s="17">
        <v>5</v>
      </c>
      <c r="B62" s="18"/>
      <c r="C62" s="19">
        <v>32</v>
      </c>
      <c r="D62" s="18">
        <v>50</v>
      </c>
      <c r="E62" s="20" t="s">
        <v>10</v>
      </c>
      <c r="I62" s="17">
        <v>9</v>
      </c>
      <c r="J62" s="18"/>
      <c r="K62" s="8">
        <v>945</v>
      </c>
      <c r="L62" s="18">
        <v>100</v>
      </c>
      <c r="M62" s="18" t="s">
        <v>9</v>
      </c>
      <c r="N62" s="16" t="s">
        <v>12</v>
      </c>
    </row>
    <row r="63" spans="1:14" x14ac:dyDescent="0.3">
      <c r="A63" s="17">
        <v>5</v>
      </c>
      <c r="B63" s="18"/>
      <c r="C63" s="19">
        <v>37</v>
      </c>
      <c r="D63" s="18">
        <v>30</v>
      </c>
      <c r="E63" s="20" t="s">
        <v>10</v>
      </c>
      <c r="I63" s="17">
        <v>9</v>
      </c>
      <c r="J63" s="18"/>
      <c r="K63" s="8">
        <v>239</v>
      </c>
      <c r="L63" s="18">
        <v>100</v>
      </c>
      <c r="M63" s="18" t="s">
        <v>9</v>
      </c>
      <c r="N63" s="16" t="s">
        <v>12</v>
      </c>
    </row>
    <row r="64" spans="1:14" x14ac:dyDescent="0.3">
      <c r="A64" s="17">
        <v>5</v>
      </c>
      <c r="B64" s="18"/>
      <c r="C64" s="19">
        <v>38</v>
      </c>
      <c r="D64" s="18">
        <v>30</v>
      </c>
      <c r="E64" s="20" t="s">
        <v>10</v>
      </c>
      <c r="I64" s="17">
        <v>9</v>
      </c>
      <c r="J64" s="18"/>
      <c r="K64" s="8">
        <v>45</v>
      </c>
      <c r="L64" s="18">
        <v>100</v>
      </c>
      <c r="M64" s="18" t="s">
        <v>9</v>
      </c>
      <c r="N64" s="16" t="s">
        <v>12</v>
      </c>
    </row>
    <row r="65" spans="1:14" x14ac:dyDescent="0.3">
      <c r="A65" s="17">
        <v>5</v>
      </c>
      <c r="B65" s="18"/>
      <c r="C65" s="19">
        <v>39</v>
      </c>
      <c r="D65" s="18">
        <v>30</v>
      </c>
      <c r="E65" s="20" t="s">
        <v>10</v>
      </c>
      <c r="I65" s="17">
        <v>9</v>
      </c>
      <c r="J65" s="18"/>
      <c r="K65" s="8">
        <v>245</v>
      </c>
      <c r="L65" s="18">
        <v>100</v>
      </c>
      <c r="M65" s="18" t="s">
        <v>9</v>
      </c>
      <c r="N65" s="16" t="s">
        <v>12</v>
      </c>
    </row>
    <row r="66" spans="1:14" x14ac:dyDescent="0.3">
      <c r="A66" s="17">
        <v>5</v>
      </c>
      <c r="B66" s="18"/>
      <c r="C66" s="19">
        <v>51</v>
      </c>
      <c r="D66" s="18">
        <v>30</v>
      </c>
      <c r="E66" s="20" t="s">
        <v>10</v>
      </c>
      <c r="I66" s="17">
        <v>9</v>
      </c>
      <c r="J66" s="18"/>
      <c r="K66" s="8">
        <v>824</v>
      </c>
      <c r="L66" s="18">
        <v>100</v>
      </c>
      <c r="M66" s="18" t="s">
        <v>9</v>
      </c>
      <c r="N66" s="16" t="s">
        <v>12</v>
      </c>
    </row>
    <row r="67" spans="1:14" x14ac:dyDescent="0.3">
      <c r="A67" s="17">
        <v>5</v>
      </c>
      <c r="B67" s="18"/>
      <c r="C67" s="19">
        <v>50</v>
      </c>
      <c r="D67" s="18">
        <v>30</v>
      </c>
      <c r="E67" s="20" t="s">
        <v>10</v>
      </c>
      <c r="I67" s="17">
        <v>9</v>
      </c>
      <c r="J67" s="18"/>
      <c r="K67" s="8">
        <v>863</v>
      </c>
      <c r="L67" s="18">
        <v>100</v>
      </c>
      <c r="M67" s="18" t="s">
        <v>9</v>
      </c>
      <c r="N67" s="16" t="s">
        <v>12</v>
      </c>
    </row>
    <row r="68" spans="1:14" x14ac:dyDescent="0.3">
      <c r="A68" s="17">
        <v>5</v>
      </c>
      <c r="B68" s="18"/>
      <c r="C68" s="19">
        <v>53</v>
      </c>
      <c r="D68" s="18">
        <v>30</v>
      </c>
      <c r="E68" s="20" t="s">
        <v>10</v>
      </c>
      <c r="I68" s="17">
        <v>9</v>
      </c>
      <c r="J68" s="18"/>
      <c r="K68" s="8">
        <v>724</v>
      </c>
      <c r="L68" s="18">
        <v>100</v>
      </c>
      <c r="M68" s="18" t="s">
        <v>9</v>
      </c>
      <c r="N68" s="16" t="s">
        <v>12</v>
      </c>
    </row>
    <row r="69" spans="1:14" x14ac:dyDescent="0.3">
      <c r="A69" s="17">
        <v>5</v>
      </c>
      <c r="B69" s="18"/>
      <c r="C69" s="19">
        <v>58</v>
      </c>
      <c r="D69" s="18">
        <v>30</v>
      </c>
      <c r="E69" s="20" t="s">
        <v>10</v>
      </c>
      <c r="I69" s="17">
        <v>9</v>
      </c>
      <c r="J69" s="18"/>
      <c r="K69" s="8">
        <v>91</v>
      </c>
      <c r="L69" s="18">
        <v>100</v>
      </c>
      <c r="M69" s="18" t="s">
        <v>9</v>
      </c>
      <c r="N69" s="16" t="s">
        <v>12</v>
      </c>
    </row>
    <row r="70" spans="1:14" x14ac:dyDescent="0.3">
      <c r="A70" s="17">
        <v>5</v>
      </c>
      <c r="B70" s="18"/>
      <c r="C70" s="19">
        <v>59</v>
      </c>
      <c r="D70" s="18">
        <v>30</v>
      </c>
      <c r="E70" s="20" t="s">
        <v>10</v>
      </c>
      <c r="I70" s="17">
        <v>9</v>
      </c>
      <c r="J70" s="18"/>
      <c r="K70" s="8">
        <v>93</v>
      </c>
      <c r="L70" s="18">
        <v>100</v>
      </c>
      <c r="M70" s="18" t="s">
        <v>9</v>
      </c>
      <c r="N70" s="16" t="s">
        <v>12</v>
      </c>
    </row>
    <row r="71" spans="1:14" x14ac:dyDescent="0.3">
      <c r="A71" s="17">
        <v>5</v>
      </c>
      <c r="B71" s="18"/>
      <c r="C71" s="19">
        <v>54</v>
      </c>
      <c r="D71" s="18">
        <v>100</v>
      </c>
      <c r="E71" s="20" t="s">
        <v>10</v>
      </c>
      <c r="I71" s="17">
        <v>9</v>
      </c>
      <c r="J71" s="18"/>
      <c r="K71" s="24">
        <v>863</v>
      </c>
      <c r="L71" s="18">
        <v>100</v>
      </c>
      <c r="M71" s="18" t="s">
        <v>9</v>
      </c>
      <c r="N71" s="16" t="s">
        <v>12</v>
      </c>
    </row>
    <row r="72" spans="1:14" x14ac:dyDescent="0.3">
      <c r="A72" s="17">
        <v>5</v>
      </c>
      <c r="B72" s="18"/>
      <c r="C72" s="19">
        <v>57</v>
      </c>
      <c r="D72" s="18">
        <v>200</v>
      </c>
      <c r="E72" s="20" t="s">
        <v>10</v>
      </c>
      <c r="I72" s="17">
        <v>7</v>
      </c>
      <c r="J72" s="18"/>
      <c r="K72" s="24">
        <v>549</v>
      </c>
      <c r="L72" s="18">
        <v>50</v>
      </c>
      <c r="M72" s="18" t="s">
        <v>10</v>
      </c>
      <c r="N72" s="20" t="s">
        <v>8</v>
      </c>
    </row>
    <row r="73" spans="1:14" x14ac:dyDescent="0.3">
      <c r="A73" s="17">
        <v>5</v>
      </c>
      <c r="B73" s="18"/>
      <c r="C73" s="19">
        <v>70</v>
      </c>
      <c r="D73" s="18">
        <v>30</v>
      </c>
      <c r="E73" s="20" t="s">
        <v>10</v>
      </c>
      <c r="I73" s="17">
        <v>7</v>
      </c>
      <c r="J73" s="18"/>
      <c r="K73" s="24">
        <v>603</v>
      </c>
      <c r="L73" s="18">
        <v>50</v>
      </c>
      <c r="M73" s="18" t="s">
        <v>10</v>
      </c>
      <c r="N73" s="20" t="s">
        <v>8</v>
      </c>
    </row>
    <row r="74" spans="1:14" x14ac:dyDescent="0.3">
      <c r="A74" s="17">
        <v>5</v>
      </c>
      <c r="B74" s="18"/>
      <c r="C74" s="19">
        <v>71</v>
      </c>
      <c r="D74" s="18">
        <v>30</v>
      </c>
      <c r="E74" s="20" t="s">
        <v>10</v>
      </c>
      <c r="I74" s="17">
        <v>10</v>
      </c>
      <c r="J74" s="18"/>
      <c r="K74" s="24">
        <v>95</v>
      </c>
      <c r="L74" s="18">
        <v>50</v>
      </c>
      <c r="M74" s="18" t="s">
        <v>9</v>
      </c>
      <c r="N74" s="20" t="s">
        <v>8</v>
      </c>
    </row>
    <row r="75" spans="1:14" x14ac:dyDescent="0.3">
      <c r="A75" s="17">
        <v>5</v>
      </c>
      <c r="B75" s="18"/>
      <c r="C75" s="19">
        <v>73</v>
      </c>
      <c r="D75" s="18">
        <v>30</v>
      </c>
      <c r="E75" s="20" t="s">
        <v>10</v>
      </c>
      <c r="I75" s="17">
        <v>10</v>
      </c>
      <c r="J75" s="18"/>
      <c r="K75" s="24">
        <v>59</v>
      </c>
      <c r="L75" s="18">
        <v>50</v>
      </c>
      <c r="M75" s="18" t="s">
        <v>9</v>
      </c>
      <c r="N75" s="20" t="s">
        <v>8</v>
      </c>
    </row>
    <row r="76" spans="1:14" x14ac:dyDescent="0.3">
      <c r="A76" s="17">
        <v>5</v>
      </c>
      <c r="B76" s="18"/>
      <c r="C76" s="19">
        <v>74</v>
      </c>
      <c r="D76" s="18">
        <v>30</v>
      </c>
      <c r="E76" s="20" t="s">
        <v>10</v>
      </c>
      <c r="I76" s="17">
        <v>10</v>
      </c>
      <c r="J76" s="18"/>
      <c r="K76" s="24">
        <v>905</v>
      </c>
      <c r="L76" s="18">
        <v>50</v>
      </c>
      <c r="M76" s="18" t="s">
        <v>9</v>
      </c>
      <c r="N76" s="20" t="s">
        <v>8</v>
      </c>
    </row>
    <row r="77" spans="1:14" x14ac:dyDescent="0.3">
      <c r="A77" s="17">
        <v>5</v>
      </c>
      <c r="B77" s="18"/>
      <c r="C77" s="19">
        <v>78</v>
      </c>
      <c r="D77" s="18">
        <v>50</v>
      </c>
      <c r="E77" s="20" t="s">
        <v>10</v>
      </c>
      <c r="I77" s="17">
        <v>10</v>
      </c>
      <c r="J77" s="18"/>
      <c r="K77" s="24">
        <v>950</v>
      </c>
      <c r="L77" s="18">
        <v>50</v>
      </c>
      <c r="M77" s="18" t="s">
        <v>9</v>
      </c>
      <c r="N77" s="20" t="s">
        <v>8</v>
      </c>
    </row>
    <row r="78" spans="1:14" x14ac:dyDescent="0.3">
      <c r="A78" s="17">
        <v>5</v>
      </c>
      <c r="B78" s="18"/>
      <c r="C78" s="19">
        <v>79</v>
      </c>
      <c r="D78" s="18">
        <v>50</v>
      </c>
      <c r="E78" s="20" t="s">
        <v>10</v>
      </c>
      <c r="I78" s="17">
        <v>10</v>
      </c>
      <c r="J78" s="18"/>
      <c r="K78" s="24">
        <v>509</v>
      </c>
      <c r="L78" s="18">
        <v>50</v>
      </c>
      <c r="M78" s="18" t="s">
        <v>9</v>
      </c>
      <c r="N78" s="20" t="s">
        <v>8</v>
      </c>
    </row>
    <row r="79" spans="1:14" x14ac:dyDescent="0.3">
      <c r="A79" s="17">
        <v>3</v>
      </c>
      <c r="B79" s="18"/>
      <c r="C79" s="19">
        <v>29</v>
      </c>
      <c r="D79" s="18">
        <v>300</v>
      </c>
      <c r="E79" s="20" t="s">
        <v>9</v>
      </c>
      <c r="I79" s="17">
        <v>10</v>
      </c>
      <c r="J79" s="18"/>
      <c r="K79" s="24">
        <v>590</v>
      </c>
      <c r="L79" s="18">
        <v>50</v>
      </c>
      <c r="M79" s="18" t="s">
        <v>9</v>
      </c>
      <c r="N79" s="20" t="s">
        <v>8</v>
      </c>
    </row>
    <row r="80" spans="1:14" x14ac:dyDescent="0.3">
      <c r="A80" s="17">
        <v>3</v>
      </c>
      <c r="B80" s="18"/>
      <c r="C80" s="19">
        <v>92</v>
      </c>
      <c r="D80" s="18">
        <v>300</v>
      </c>
      <c r="E80" s="20" t="s">
        <v>9</v>
      </c>
      <c r="I80" s="17">
        <v>10</v>
      </c>
      <c r="J80" s="18"/>
      <c r="K80" s="24">
        <v>379</v>
      </c>
      <c r="L80" s="18">
        <v>50</v>
      </c>
      <c r="M80" s="18" t="s">
        <v>9</v>
      </c>
      <c r="N80" s="20" t="s">
        <v>8</v>
      </c>
    </row>
    <row r="81" spans="1:14" x14ac:dyDescent="0.3">
      <c r="A81" s="17">
        <v>3</v>
      </c>
      <c r="B81" s="18"/>
      <c r="C81" s="19">
        <v>29</v>
      </c>
      <c r="D81" s="18">
        <v>300</v>
      </c>
      <c r="E81" s="16" t="s">
        <v>10</v>
      </c>
      <c r="I81" s="17">
        <v>10</v>
      </c>
      <c r="J81" s="18"/>
      <c r="K81" s="24">
        <v>397</v>
      </c>
      <c r="L81" s="18">
        <v>50</v>
      </c>
      <c r="M81" s="18" t="s">
        <v>9</v>
      </c>
      <c r="N81" s="20" t="s">
        <v>8</v>
      </c>
    </row>
    <row r="82" spans="1:14" x14ac:dyDescent="0.3">
      <c r="A82" s="17">
        <v>3</v>
      </c>
      <c r="B82" s="18"/>
      <c r="C82" s="19">
        <v>92</v>
      </c>
      <c r="D82" s="18">
        <v>300</v>
      </c>
      <c r="E82" s="16" t="s">
        <v>10</v>
      </c>
      <c r="I82" s="17">
        <v>10</v>
      </c>
      <c r="J82" s="18"/>
      <c r="K82" s="24">
        <v>739</v>
      </c>
      <c r="L82" s="18">
        <v>50</v>
      </c>
      <c r="M82" s="18" t="s">
        <v>9</v>
      </c>
      <c r="N82" s="20" t="s">
        <v>8</v>
      </c>
    </row>
    <row r="83" spans="1:14" x14ac:dyDescent="0.3">
      <c r="A83" s="17">
        <v>6</v>
      </c>
      <c r="B83" s="18"/>
      <c r="C83" s="19">
        <v>14</v>
      </c>
      <c r="D83" s="18">
        <v>100</v>
      </c>
      <c r="E83" s="20" t="s">
        <v>9</v>
      </c>
      <c r="I83" s="17">
        <v>10</v>
      </c>
      <c r="J83" s="18"/>
      <c r="K83" s="24">
        <v>793</v>
      </c>
      <c r="L83" s="18">
        <v>50</v>
      </c>
      <c r="M83" s="18" t="s">
        <v>9</v>
      </c>
      <c r="N83" s="20" t="s">
        <v>8</v>
      </c>
    </row>
    <row r="84" spans="1:14" x14ac:dyDescent="0.3">
      <c r="A84" s="17">
        <v>6</v>
      </c>
      <c r="B84" s="18"/>
      <c r="C84" s="19">
        <v>41</v>
      </c>
      <c r="D84" s="18">
        <v>100</v>
      </c>
      <c r="E84" s="20" t="s">
        <v>9</v>
      </c>
      <c r="I84" s="17">
        <v>10</v>
      </c>
      <c r="J84" s="18"/>
      <c r="K84" s="24">
        <v>937</v>
      </c>
      <c r="L84" s="18">
        <v>50</v>
      </c>
      <c r="M84" s="18" t="s">
        <v>9</v>
      </c>
      <c r="N84" s="20" t="s">
        <v>8</v>
      </c>
    </row>
    <row r="85" spans="1:14" x14ac:dyDescent="0.3">
      <c r="A85" s="17">
        <v>6</v>
      </c>
      <c r="B85" s="18"/>
      <c r="C85" s="19">
        <v>27</v>
      </c>
      <c r="D85" s="18">
        <v>100</v>
      </c>
      <c r="E85" s="20" t="s">
        <v>9</v>
      </c>
      <c r="I85" s="17">
        <v>10</v>
      </c>
      <c r="J85" s="18"/>
      <c r="K85" s="24">
        <v>973</v>
      </c>
      <c r="L85" s="18">
        <v>50</v>
      </c>
      <c r="M85" s="18" t="s">
        <v>9</v>
      </c>
      <c r="N85" s="20" t="s">
        <v>8</v>
      </c>
    </row>
    <row r="86" spans="1:14" x14ac:dyDescent="0.3">
      <c r="A86" s="17">
        <v>6</v>
      </c>
      <c r="B86" s="18"/>
      <c r="C86" s="19">
        <v>72</v>
      </c>
      <c r="D86" s="18">
        <v>100</v>
      </c>
      <c r="E86" s="20" t="s">
        <v>9</v>
      </c>
      <c r="I86" s="17">
        <v>10</v>
      </c>
      <c r="J86" s="18"/>
      <c r="K86" s="24">
        <v>376</v>
      </c>
      <c r="L86" s="18">
        <v>50</v>
      </c>
      <c r="M86" s="18" t="s">
        <v>9</v>
      </c>
      <c r="N86" s="20" t="s">
        <v>8</v>
      </c>
    </row>
    <row r="87" spans="1:14" x14ac:dyDescent="0.3">
      <c r="A87" s="17">
        <v>6</v>
      </c>
      <c r="B87" s="18"/>
      <c r="C87" s="19">
        <v>18</v>
      </c>
      <c r="D87" s="18">
        <v>100</v>
      </c>
      <c r="E87" s="20" t="s">
        <v>9</v>
      </c>
      <c r="I87" s="17">
        <v>10</v>
      </c>
      <c r="J87" s="18"/>
      <c r="K87" s="24">
        <v>367</v>
      </c>
      <c r="L87" s="18">
        <v>50</v>
      </c>
      <c r="M87" s="18" t="s">
        <v>9</v>
      </c>
      <c r="N87" s="20" t="s">
        <v>8</v>
      </c>
    </row>
    <row r="88" spans="1:14" x14ac:dyDescent="0.3">
      <c r="A88" s="17">
        <v>6</v>
      </c>
      <c r="B88" s="18"/>
      <c r="C88" s="19">
        <v>81</v>
      </c>
      <c r="D88" s="18">
        <v>100</v>
      </c>
      <c r="E88" s="20" t="s">
        <v>9</v>
      </c>
      <c r="I88" s="17">
        <v>10</v>
      </c>
      <c r="J88" s="18"/>
      <c r="K88" s="24">
        <v>763</v>
      </c>
      <c r="L88" s="18">
        <v>50</v>
      </c>
      <c r="M88" s="18" t="s">
        <v>9</v>
      </c>
      <c r="N88" s="20" t="s">
        <v>8</v>
      </c>
    </row>
    <row r="89" spans="1:14" x14ac:dyDescent="0.3">
      <c r="A89" s="17">
        <v>6</v>
      </c>
      <c r="B89" s="18"/>
      <c r="C89" s="19">
        <v>45</v>
      </c>
      <c r="D89" s="18">
        <v>100</v>
      </c>
      <c r="E89" s="20" t="s">
        <v>9</v>
      </c>
      <c r="I89" s="17">
        <v>10</v>
      </c>
      <c r="J89" s="18"/>
      <c r="K89" s="24">
        <v>736</v>
      </c>
      <c r="L89" s="18">
        <v>50</v>
      </c>
      <c r="M89" s="18" t="s">
        <v>9</v>
      </c>
      <c r="N89" s="20" t="s">
        <v>8</v>
      </c>
    </row>
    <row r="90" spans="1:14" x14ac:dyDescent="0.3">
      <c r="A90" s="17">
        <v>6</v>
      </c>
      <c r="B90" s="18"/>
      <c r="C90" s="19">
        <v>54</v>
      </c>
      <c r="D90" s="18">
        <v>100</v>
      </c>
      <c r="E90" s="20" t="s">
        <v>9</v>
      </c>
      <c r="I90" s="17">
        <v>10</v>
      </c>
      <c r="J90" s="18"/>
      <c r="K90" s="24">
        <v>637</v>
      </c>
      <c r="L90" s="18">
        <v>50</v>
      </c>
      <c r="M90" s="18" t="s">
        <v>9</v>
      </c>
      <c r="N90" s="20" t="s">
        <v>8</v>
      </c>
    </row>
    <row r="91" spans="1:14" x14ac:dyDescent="0.3">
      <c r="A91" s="17">
        <v>6</v>
      </c>
      <c r="B91" s="18"/>
      <c r="C91" s="19">
        <v>16</v>
      </c>
      <c r="D91" s="18">
        <v>100</v>
      </c>
      <c r="E91" s="20" t="s">
        <v>9</v>
      </c>
      <c r="I91" s="17">
        <v>10</v>
      </c>
      <c r="J91" s="18"/>
      <c r="K91" s="24">
        <v>673</v>
      </c>
      <c r="L91" s="18">
        <v>50</v>
      </c>
      <c r="M91" s="18" t="s">
        <v>9</v>
      </c>
      <c r="N91" s="20" t="s">
        <v>8</v>
      </c>
    </row>
    <row r="92" spans="1:14" x14ac:dyDescent="0.3">
      <c r="A92" s="17">
        <v>6</v>
      </c>
      <c r="B92" s="18"/>
      <c r="C92" s="19">
        <v>61</v>
      </c>
      <c r="D92" s="18">
        <v>100</v>
      </c>
      <c r="E92" s="20" t="s">
        <v>9</v>
      </c>
      <c r="I92" s="17">
        <v>11</v>
      </c>
      <c r="J92" s="18"/>
      <c r="K92" s="24">
        <v>321</v>
      </c>
      <c r="L92" s="18">
        <v>100</v>
      </c>
      <c r="M92" s="18" t="s">
        <v>9</v>
      </c>
      <c r="N92" s="20" t="s">
        <v>8</v>
      </c>
    </row>
    <row r="93" spans="1:14" x14ac:dyDescent="0.3">
      <c r="A93" s="17">
        <v>6</v>
      </c>
      <c r="B93" s="18"/>
      <c r="C93" s="9">
        <v>14</v>
      </c>
      <c r="D93" s="18">
        <v>100</v>
      </c>
      <c r="E93" s="16" t="s">
        <v>10</v>
      </c>
      <c r="I93" s="17">
        <v>11</v>
      </c>
      <c r="J93" s="18"/>
      <c r="K93" s="24">
        <v>321</v>
      </c>
      <c r="L93" s="18">
        <v>100</v>
      </c>
      <c r="M93" s="18" t="s">
        <v>9</v>
      </c>
      <c r="N93" s="20" t="s">
        <v>12</v>
      </c>
    </row>
    <row r="94" spans="1:14" x14ac:dyDescent="0.3">
      <c r="A94" s="17">
        <v>6</v>
      </c>
      <c r="B94" s="18"/>
      <c r="C94" s="9">
        <v>41</v>
      </c>
      <c r="D94" s="18">
        <v>100</v>
      </c>
      <c r="E94" s="16" t="s">
        <v>10</v>
      </c>
      <c r="I94" s="17">
        <v>11</v>
      </c>
      <c r="J94" s="18"/>
      <c r="K94" s="8">
        <v>15</v>
      </c>
      <c r="L94" s="5">
        <v>20</v>
      </c>
      <c r="M94" s="5" t="s">
        <v>9</v>
      </c>
      <c r="N94" s="16" t="s">
        <v>8</v>
      </c>
    </row>
    <row r="95" spans="1:14" x14ac:dyDescent="0.3">
      <c r="A95" s="17">
        <v>6</v>
      </c>
      <c r="B95" s="18"/>
      <c r="C95" s="9">
        <v>27</v>
      </c>
      <c r="D95" s="18">
        <v>100</v>
      </c>
      <c r="E95" s="16" t="s">
        <v>10</v>
      </c>
      <c r="I95" s="17">
        <v>11</v>
      </c>
      <c r="J95" s="18"/>
      <c r="K95" s="24">
        <v>15</v>
      </c>
      <c r="L95" s="18">
        <v>20</v>
      </c>
      <c r="M95" s="18" t="s">
        <v>10</v>
      </c>
      <c r="N95" s="20" t="s">
        <v>8</v>
      </c>
    </row>
    <row r="96" spans="1:14" x14ac:dyDescent="0.3">
      <c r="A96" s="17">
        <v>6</v>
      </c>
      <c r="B96" s="18"/>
      <c r="C96" s="9">
        <v>72</v>
      </c>
      <c r="D96" s="18">
        <v>100</v>
      </c>
      <c r="E96" s="16" t="s">
        <v>10</v>
      </c>
      <c r="I96" s="17">
        <v>12</v>
      </c>
      <c r="J96" s="18"/>
      <c r="K96" s="24">
        <v>286</v>
      </c>
      <c r="L96" s="18">
        <v>100</v>
      </c>
      <c r="M96" s="18" t="s">
        <v>9</v>
      </c>
      <c r="N96" s="20" t="s">
        <v>8</v>
      </c>
    </row>
    <row r="97" spans="1:14" x14ac:dyDescent="0.3">
      <c r="A97" s="17">
        <v>6</v>
      </c>
      <c r="B97" s="18"/>
      <c r="C97" s="9">
        <v>18</v>
      </c>
      <c r="D97" s="18">
        <v>100</v>
      </c>
      <c r="E97" s="16" t="s">
        <v>10</v>
      </c>
      <c r="I97" s="17">
        <v>12</v>
      </c>
      <c r="J97" s="18"/>
      <c r="K97" s="24">
        <v>286</v>
      </c>
      <c r="L97" s="18">
        <v>100</v>
      </c>
      <c r="M97" s="18" t="s">
        <v>9</v>
      </c>
      <c r="N97" s="20" t="s">
        <v>12</v>
      </c>
    </row>
    <row r="98" spans="1:14" x14ac:dyDescent="0.3">
      <c r="A98" s="17">
        <v>6</v>
      </c>
      <c r="B98" s="18"/>
      <c r="C98" s="9">
        <v>81</v>
      </c>
      <c r="D98" s="18">
        <v>100</v>
      </c>
      <c r="E98" s="16" t="s">
        <v>10</v>
      </c>
      <c r="I98" s="17">
        <v>7</v>
      </c>
      <c r="J98" s="18"/>
      <c r="K98" s="24">
        <v>181</v>
      </c>
      <c r="L98" s="18">
        <v>50</v>
      </c>
      <c r="M98" s="18" t="s">
        <v>10</v>
      </c>
      <c r="N98" s="20" t="s">
        <v>8</v>
      </c>
    </row>
    <row r="99" spans="1:14" x14ac:dyDescent="0.3">
      <c r="A99" s="17">
        <v>6</v>
      </c>
      <c r="B99" s="18"/>
      <c r="C99" s="9">
        <v>45</v>
      </c>
      <c r="D99" s="18">
        <v>100</v>
      </c>
      <c r="E99" s="16" t="s">
        <v>10</v>
      </c>
      <c r="I99" s="17">
        <v>14</v>
      </c>
      <c r="J99" s="18"/>
      <c r="K99" s="24">
        <v>372</v>
      </c>
      <c r="L99" s="18">
        <v>300</v>
      </c>
      <c r="M99" s="18" t="s">
        <v>9</v>
      </c>
      <c r="N99" s="20" t="s">
        <v>8</v>
      </c>
    </row>
    <row r="100" spans="1:14" x14ac:dyDescent="0.3">
      <c r="A100" s="17">
        <v>6</v>
      </c>
      <c r="B100" s="18"/>
      <c r="C100" s="9">
        <v>54</v>
      </c>
      <c r="D100" s="18">
        <v>100</v>
      </c>
      <c r="E100" s="16" t="s">
        <v>10</v>
      </c>
      <c r="I100" s="17">
        <v>14</v>
      </c>
      <c r="J100" s="18"/>
      <c r="K100" s="24">
        <v>177</v>
      </c>
      <c r="L100" s="18">
        <v>300</v>
      </c>
      <c r="M100" s="18" t="s">
        <v>9</v>
      </c>
      <c r="N100" s="20" t="s">
        <v>8</v>
      </c>
    </row>
    <row r="101" spans="1:14" x14ac:dyDescent="0.3">
      <c r="A101" s="17">
        <v>6</v>
      </c>
      <c r="B101" s="18"/>
      <c r="C101" s="9">
        <v>16</v>
      </c>
      <c r="D101" s="18">
        <v>100</v>
      </c>
      <c r="E101" s="16" t="s">
        <v>10</v>
      </c>
      <c r="I101" s="17">
        <v>14</v>
      </c>
      <c r="J101" s="18"/>
      <c r="K101" s="24">
        <v>543</v>
      </c>
      <c r="L101" s="18">
        <v>300</v>
      </c>
      <c r="M101" s="18" t="s">
        <v>9</v>
      </c>
      <c r="N101" s="20" t="s">
        <v>8</v>
      </c>
    </row>
    <row r="102" spans="1:14" x14ac:dyDescent="0.3">
      <c r="A102" s="17">
        <v>6</v>
      </c>
      <c r="B102" s="18"/>
      <c r="C102" s="19">
        <v>61</v>
      </c>
      <c r="D102" s="18">
        <v>100</v>
      </c>
      <c r="E102" s="16" t="s">
        <v>10</v>
      </c>
      <c r="I102" s="17">
        <v>14</v>
      </c>
      <c r="J102" s="18"/>
      <c r="K102" s="24">
        <v>175</v>
      </c>
      <c r="L102" s="18">
        <v>300</v>
      </c>
      <c r="M102" s="18" t="s">
        <v>9</v>
      </c>
      <c r="N102" s="20" t="s">
        <v>8</v>
      </c>
    </row>
    <row r="103" spans="1:14" x14ac:dyDescent="0.3">
      <c r="A103" s="17">
        <v>8</v>
      </c>
      <c r="B103" s="18"/>
      <c r="C103" s="19">
        <v>23</v>
      </c>
      <c r="D103" s="18">
        <v>50</v>
      </c>
      <c r="E103" s="20" t="s">
        <v>9</v>
      </c>
      <c r="I103" s="17">
        <v>14</v>
      </c>
      <c r="J103" s="18"/>
      <c r="K103" s="8">
        <v>372</v>
      </c>
      <c r="L103" s="18">
        <v>300</v>
      </c>
      <c r="M103" s="18" t="s">
        <v>9</v>
      </c>
      <c r="N103" s="16" t="s">
        <v>12</v>
      </c>
    </row>
    <row r="104" spans="1:14" x14ac:dyDescent="0.3">
      <c r="A104" s="17">
        <v>8</v>
      </c>
      <c r="B104" s="18"/>
      <c r="C104" s="19">
        <v>32</v>
      </c>
      <c r="D104" s="18">
        <v>50</v>
      </c>
      <c r="E104" s="20" t="s">
        <v>9</v>
      </c>
      <c r="I104" s="17">
        <v>14</v>
      </c>
      <c r="J104" s="18"/>
      <c r="K104" s="8">
        <v>177</v>
      </c>
      <c r="L104" s="18">
        <v>300</v>
      </c>
      <c r="M104" s="18" t="s">
        <v>9</v>
      </c>
      <c r="N104" s="16" t="s">
        <v>12</v>
      </c>
    </row>
    <row r="105" spans="1:14" x14ac:dyDescent="0.3">
      <c r="A105" s="17">
        <v>8</v>
      </c>
      <c r="B105" s="18"/>
      <c r="C105" s="19">
        <v>23</v>
      </c>
      <c r="D105" s="18">
        <v>50</v>
      </c>
      <c r="E105" s="20" t="s">
        <v>10</v>
      </c>
      <c r="I105" s="17">
        <v>14</v>
      </c>
      <c r="J105" s="18"/>
      <c r="K105" s="8">
        <v>543</v>
      </c>
      <c r="L105" s="18">
        <v>300</v>
      </c>
      <c r="M105" s="18" t="s">
        <v>9</v>
      </c>
      <c r="N105" s="16" t="s">
        <v>12</v>
      </c>
    </row>
    <row r="106" spans="1:14" x14ac:dyDescent="0.3">
      <c r="A106" s="17">
        <v>8</v>
      </c>
      <c r="B106" s="18"/>
      <c r="C106" s="19">
        <v>32</v>
      </c>
      <c r="D106" s="18">
        <v>50</v>
      </c>
      <c r="E106" s="20" t="s">
        <v>10</v>
      </c>
      <c r="I106" s="17">
        <v>14</v>
      </c>
      <c r="J106" s="18"/>
      <c r="K106" s="24">
        <v>175</v>
      </c>
      <c r="L106" s="18">
        <v>300</v>
      </c>
      <c r="M106" s="18" t="s">
        <v>9</v>
      </c>
      <c r="N106" s="16" t="s">
        <v>12</v>
      </c>
    </row>
    <row r="107" spans="1:14" x14ac:dyDescent="0.3">
      <c r="A107" s="17">
        <v>3</v>
      </c>
      <c r="B107" s="18"/>
      <c r="C107" s="19">
        <v>25</v>
      </c>
      <c r="D107" s="18">
        <v>100</v>
      </c>
      <c r="E107" s="20" t="s">
        <v>9</v>
      </c>
      <c r="I107" s="17">
        <v>14</v>
      </c>
      <c r="J107" s="18"/>
      <c r="K107" s="24">
        <v>720</v>
      </c>
      <c r="L107" s="18">
        <v>300</v>
      </c>
      <c r="M107" s="18" t="s">
        <v>9</v>
      </c>
      <c r="N107" s="20" t="s">
        <v>8</v>
      </c>
    </row>
    <row r="108" spans="1:14" x14ac:dyDescent="0.3">
      <c r="A108" s="17">
        <v>3</v>
      </c>
      <c r="B108" s="18"/>
      <c r="C108" s="19">
        <v>52</v>
      </c>
      <c r="D108" s="18">
        <v>100</v>
      </c>
      <c r="E108" s="20" t="s">
        <v>9</v>
      </c>
      <c r="I108" s="17">
        <v>14</v>
      </c>
      <c r="J108" s="18"/>
      <c r="K108" s="24">
        <v>343</v>
      </c>
      <c r="L108" s="18">
        <v>300</v>
      </c>
      <c r="M108" s="18" t="s">
        <v>9</v>
      </c>
      <c r="N108" s="20" t="s">
        <v>8</v>
      </c>
    </row>
    <row r="109" spans="1:14" x14ac:dyDescent="0.3">
      <c r="A109" s="17">
        <v>3</v>
      </c>
      <c r="B109" s="18"/>
      <c r="C109" s="19">
        <v>23</v>
      </c>
      <c r="D109" s="18">
        <v>100</v>
      </c>
      <c r="E109" s="20" t="s">
        <v>9</v>
      </c>
      <c r="I109" s="17">
        <v>14</v>
      </c>
      <c r="J109" s="18"/>
      <c r="K109" s="8">
        <v>720</v>
      </c>
      <c r="L109" s="18">
        <v>300</v>
      </c>
      <c r="M109" s="18" t="s">
        <v>9</v>
      </c>
      <c r="N109" s="18" t="s">
        <v>12</v>
      </c>
    </row>
    <row r="110" spans="1:14" x14ac:dyDescent="0.3">
      <c r="A110" s="17">
        <v>3</v>
      </c>
      <c r="B110" s="18"/>
      <c r="C110" s="19">
        <v>32</v>
      </c>
      <c r="D110" s="18">
        <v>100</v>
      </c>
      <c r="E110" s="20" t="s">
        <v>9</v>
      </c>
      <c r="I110" s="17">
        <v>14</v>
      </c>
      <c r="J110" s="18"/>
      <c r="K110" s="24">
        <v>343</v>
      </c>
      <c r="L110" s="18">
        <v>300</v>
      </c>
      <c r="M110" s="18" t="s">
        <v>9</v>
      </c>
      <c r="N110" s="18" t="s">
        <v>12</v>
      </c>
    </row>
    <row r="111" spans="1:14" x14ac:dyDescent="0.3">
      <c r="A111" s="17">
        <v>3</v>
      </c>
      <c r="B111" s="18"/>
      <c r="C111" s="9">
        <v>25</v>
      </c>
      <c r="D111" s="18">
        <v>100</v>
      </c>
      <c r="E111" s="16" t="s">
        <v>10</v>
      </c>
      <c r="I111" s="17">
        <v>7</v>
      </c>
      <c r="J111" s="18"/>
      <c r="K111" s="24">
        <v>589</v>
      </c>
      <c r="L111" s="18">
        <v>50</v>
      </c>
      <c r="M111" s="18" t="s">
        <v>9</v>
      </c>
      <c r="N111" s="20" t="s">
        <v>8</v>
      </c>
    </row>
    <row r="112" spans="1:14" x14ac:dyDescent="0.3">
      <c r="A112" s="17">
        <v>3</v>
      </c>
      <c r="B112" s="18"/>
      <c r="C112" s="9">
        <v>52</v>
      </c>
      <c r="D112" s="18">
        <v>100</v>
      </c>
      <c r="E112" s="16" t="s">
        <v>10</v>
      </c>
      <c r="I112" s="17">
        <v>7</v>
      </c>
      <c r="J112" s="18"/>
      <c r="K112" s="24">
        <v>598</v>
      </c>
      <c r="L112" s="18">
        <v>50</v>
      </c>
      <c r="M112" s="18" t="s">
        <v>9</v>
      </c>
      <c r="N112" s="20" t="s">
        <v>8</v>
      </c>
    </row>
    <row r="113" spans="1:14" x14ac:dyDescent="0.3">
      <c r="A113" s="17">
        <v>3</v>
      </c>
      <c r="B113" s="18"/>
      <c r="C113" s="9">
        <v>23</v>
      </c>
      <c r="D113" s="18">
        <v>100</v>
      </c>
      <c r="E113" s="16" t="s">
        <v>10</v>
      </c>
      <c r="I113" s="17">
        <v>7</v>
      </c>
      <c r="J113" s="18"/>
      <c r="K113" s="24">
        <v>859</v>
      </c>
      <c r="L113" s="18">
        <v>50</v>
      </c>
      <c r="M113" s="18" t="s">
        <v>9</v>
      </c>
      <c r="N113" s="20" t="s">
        <v>8</v>
      </c>
    </row>
    <row r="114" spans="1:14" x14ac:dyDescent="0.3">
      <c r="A114" s="17">
        <v>3</v>
      </c>
      <c r="B114" s="18"/>
      <c r="C114" s="19">
        <v>32</v>
      </c>
      <c r="D114" s="18">
        <v>100</v>
      </c>
      <c r="E114" s="16" t="s">
        <v>10</v>
      </c>
      <c r="I114" s="17">
        <v>7</v>
      </c>
      <c r="J114" s="18"/>
      <c r="K114" s="24">
        <v>895</v>
      </c>
      <c r="L114" s="18">
        <v>50</v>
      </c>
      <c r="M114" s="18" t="s">
        <v>9</v>
      </c>
      <c r="N114" s="20" t="s">
        <v>8</v>
      </c>
    </row>
    <row r="115" spans="1:14" x14ac:dyDescent="0.3">
      <c r="A115" s="17">
        <v>9</v>
      </c>
      <c r="B115" s="18"/>
      <c r="C115" s="19">
        <v>39</v>
      </c>
      <c r="D115" s="18">
        <v>100</v>
      </c>
      <c r="E115" s="20" t="s">
        <v>9</v>
      </c>
      <c r="I115" s="17">
        <v>7</v>
      </c>
      <c r="J115" s="18"/>
      <c r="K115" s="24">
        <v>985</v>
      </c>
      <c r="L115" s="18">
        <v>50</v>
      </c>
      <c r="M115" s="18" t="s">
        <v>9</v>
      </c>
      <c r="N115" s="20" t="s">
        <v>8</v>
      </c>
    </row>
    <row r="116" spans="1:14" x14ac:dyDescent="0.3">
      <c r="A116" s="17">
        <v>9</v>
      </c>
      <c r="B116" s="18"/>
      <c r="C116" s="19">
        <v>93</v>
      </c>
      <c r="D116" s="18">
        <v>100</v>
      </c>
      <c r="E116" s="20" t="s">
        <v>9</v>
      </c>
      <c r="I116" s="17">
        <v>7</v>
      </c>
      <c r="J116" s="18"/>
      <c r="K116" s="24">
        <v>958</v>
      </c>
      <c r="L116" s="18">
        <v>50</v>
      </c>
      <c r="M116" s="18" t="s">
        <v>9</v>
      </c>
      <c r="N116" s="20" t="s">
        <v>8</v>
      </c>
    </row>
    <row r="117" spans="1:14" x14ac:dyDescent="0.3">
      <c r="A117" s="17">
        <v>9</v>
      </c>
      <c r="B117" s="18"/>
      <c r="C117" s="19">
        <v>91</v>
      </c>
      <c r="D117" s="18">
        <v>100</v>
      </c>
      <c r="E117" s="20" t="s">
        <v>9</v>
      </c>
      <c r="I117" s="17">
        <v>7</v>
      </c>
      <c r="J117" s="18"/>
      <c r="K117" s="8">
        <v>589</v>
      </c>
      <c r="L117" s="18">
        <v>50</v>
      </c>
      <c r="M117" s="5" t="s">
        <v>9</v>
      </c>
      <c r="N117" s="16" t="s">
        <v>12</v>
      </c>
    </row>
    <row r="118" spans="1:14" x14ac:dyDescent="0.3">
      <c r="A118" s="17">
        <v>9</v>
      </c>
      <c r="B118" s="18"/>
      <c r="C118" s="19">
        <v>24</v>
      </c>
      <c r="D118" s="18">
        <v>100</v>
      </c>
      <c r="E118" s="20" t="s">
        <v>9</v>
      </c>
      <c r="I118" s="17">
        <v>7</v>
      </c>
      <c r="J118" s="18"/>
      <c r="K118" s="8">
        <v>598</v>
      </c>
      <c r="L118" s="18">
        <v>50</v>
      </c>
      <c r="M118" s="5" t="s">
        <v>9</v>
      </c>
      <c r="N118" s="16" t="s">
        <v>12</v>
      </c>
    </row>
    <row r="119" spans="1:14" x14ac:dyDescent="0.3">
      <c r="A119" s="17">
        <v>9</v>
      </c>
      <c r="B119" s="18"/>
      <c r="C119" s="19">
        <v>25</v>
      </c>
      <c r="D119" s="18">
        <v>100</v>
      </c>
      <c r="E119" s="20" t="s">
        <v>9</v>
      </c>
      <c r="I119" s="17">
        <v>7</v>
      </c>
      <c r="J119" s="18"/>
      <c r="K119" s="8">
        <v>859</v>
      </c>
      <c r="L119" s="18">
        <v>50</v>
      </c>
      <c r="M119" s="5" t="s">
        <v>9</v>
      </c>
      <c r="N119" s="16" t="s">
        <v>12</v>
      </c>
    </row>
    <row r="120" spans="1:14" x14ac:dyDescent="0.3">
      <c r="A120" s="17">
        <v>9</v>
      </c>
      <c r="B120" s="18"/>
      <c r="C120" s="19">
        <v>21</v>
      </c>
      <c r="D120" s="18">
        <v>100</v>
      </c>
      <c r="E120" s="20" t="s">
        <v>9</v>
      </c>
      <c r="I120" s="17">
        <v>7</v>
      </c>
      <c r="J120" s="18"/>
      <c r="K120" s="8">
        <v>895</v>
      </c>
      <c r="L120" s="18">
        <v>50</v>
      </c>
      <c r="M120" s="5" t="s">
        <v>9</v>
      </c>
      <c r="N120" s="16" t="s">
        <v>12</v>
      </c>
    </row>
    <row r="121" spans="1:14" x14ac:dyDescent="0.3">
      <c r="A121" s="17">
        <v>9</v>
      </c>
      <c r="B121" s="18"/>
      <c r="C121" s="19">
        <v>19</v>
      </c>
      <c r="D121" s="18">
        <v>100</v>
      </c>
      <c r="E121" s="20" t="s">
        <v>9</v>
      </c>
      <c r="I121" s="17">
        <v>7</v>
      </c>
      <c r="J121" s="18"/>
      <c r="K121" s="8">
        <v>985</v>
      </c>
      <c r="L121" s="18">
        <v>50</v>
      </c>
      <c r="M121" s="5" t="s">
        <v>9</v>
      </c>
      <c r="N121" s="16" t="s">
        <v>12</v>
      </c>
    </row>
    <row r="122" spans="1:14" x14ac:dyDescent="0.3">
      <c r="A122" s="17">
        <v>9</v>
      </c>
      <c r="B122" s="18"/>
      <c r="C122" s="19">
        <v>45</v>
      </c>
      <c r="D122" s="18">
        <v>100</v>
      </c>
      <c r="E122" s="20" t="s">
        <v>9</v>
      </c>
      <c r="I122" s="17">
        <v>7</v>
      </c>
      <c r="J122" s="18"/>
      <c r="K122" s="24">
        <v>958</v>
      </c>
      <c r="L122" s="18">
        <v>50</v>
      </c>
      <c r="M122" s="5" t="s">
        <v>9</v>
      </c>
      <c r="N122" s="16" t="s">
        <v>12</v>
      </c>
    </row>
    <row r="123" spans="1:14" x14ac:dyDescent="0.3">
      <c r="A123" s="17">
        <v>9</v>
      </c>
      <c r="B123" s="18"/>
      <c r="C123" s="19">
        <v>91</v>
      </c>
      <c r="D123" s="18">
        <v>100</v>
      </c>
      <c r="E123" s="20" t="s">
        <v>10</v>
      </c>
      <c r="I123" s="17">
        <v>7</v>
      </c>
      <c r="J123" s="18"/>
      <c r="K123" s="24">
        <v>581</v>
      </c>
      <c r="L123" s="18">
        <v>50</v>
      </c>
      <c r="M123" s="5" t="s">
        <v>9</v>
      </c>
      <c r="N123" s="20" t="s">
        <v>8</v>
      </c>
    </row>
    <row r="124" spans="1:14" x14ac:dyDescent="0.3">
      <c r="A124" s="17">
        <v>9</v>
      </c>
      <c r="B124" s="18"/>
      <c r="C124" s="19">
        <v>39</v>
      </c>
      <c r="D124" s="18">
        <v>100</v>
      </c>
      <c r="E124" s="20" t="s">
        <v>10</v>
      </c>
      <c r="I124" s="17">
        <v>7</v>
      </c>
      <c r="J124" s="18"/>
      <c r="K124" s="24">
        <v>518</v>
      </c>
      <c r="L124" s="18">
        <v>50</v>
      </c>
      <c r="M124" s="5" t="s">
        <v>9</v>
      </c>
      <c r="N124" s="20" t="s">
        <v>8</v>
      </c>
    </row>
    <row r="125" spans="1:14" x14ac:dyDescent="0.3">
      <c r="A125" s="17">
        <v>9</v>
      </c>
      <c r="B125" s="18"/>
      <c r="C125" s="19">
        <v>24</v>
      </c>
      <c r="D125" s="18">
        <v>100</v>
      </c>
      <c r="E125" s="20" t="s">
        <v>10</v>
      </c>
      <c r="I125" s="17">
        <v>7</v>
      </c>
      <c r="J125" s="18"/>
      <c r="K125" s="24">
        <v>815</v>
      </c>
      <c r="L125" s="18">
        <v>50</v>
      </c>
      <c r="M125" s="5" t="s">
        <v>9</v>
      </c>
      <c r="N125" s="20" t="s">
        <v>8</v>
      </c>
    </row>
    <row r="126" spans="1:14" x14ac:dyDescent="0.3">
      <c r="A126" s="17">
        <v>9</v>
      </c>
      <c r="B126" s="18"/>
      <c r="C126" s="19">
        <v>21</v>
      </c>
      <c r="D126" s="18">
        <v>100</v>
      </c>
      <c r="E126" s="20" t="s">
        <v>10</v>
      </c>
      <c r="I126" s="17">
        <v>7</v>
      </c>
      <c r="J126" s="18"/>
      <c r="K126" s="24">
        <v>851</v>
      </c>
      <c r="L126" s="18">
        <v>50</v>
      </c>
      <c r="M126" s="5" t="s">
        <v>9</v>
      </c>
      <c r="N126" s="20" t="s">
        <v>8</v>
      </c>
    </row>
    <row r="127" spans="1:14" x14ac:dyDescent="0.3">
      <c r="A127" s="17">
        <v>9</v>
      </c>
      <c r="B127" s="18"/>
      <c r="C127" s="19">
        <v>98</v>
      </c>
      <c r="D127" s="18">
        <v>100</v>
      </c>
      <c r="E127" s="20" t="s">
        <v>10</v>
      </c>
      <c r="I127" s="17">
        <v>7</v>
      </c>
      <c r="J127" s="18"/>
      <c r="K127" s="24">
        <v>158</v>
      </c>
      <c r="L127" s="18">
        <v>50</v>
      </c>
      <c r="M127" s="5" t="s">
        <v>9</v>
      </c>
      <c r="N127" s="20" t="s">
        <v>8</v>
      </c>
    </row>
    <row r="128" spans="1:14" x14ac:dyDescent="0.3">
      <c r="A128" s="17">
        <v>9</v>
      </c>
      <c r="B128" s="18"/>
      <c r="C128" s="19">
        <v>25</v>
      </c>
      <c r="D128" s="18">
        <v>100</v>
      </c>
      <c r="E128" s="20" t="s">
        <v>10</v>
      </c>
      <c r="I128" s="17">
        <v>7</v>
      </c>
      <c r="J128" s="18"/>
      <c r="K128" s="24">
        <v>185</v>
      </c>
      <c r="L128" s="18">
        <v>50</v>
      </c>
      <c r="M128" s="5" t="s">
        <v>9</v>
      </c>
      <c r="N128" s="20" t="s">
        <v>8</v>
      </c>
    </row>
    <row r="129" spans="1:14" x14ac:dyDescent="0.3">
      <c r="A129" s="17">
        <v>9</v>
      </c>
      <c r="B129" s="18"/>
      <c r="C129" s="19">
        <v>98</v>
      </c>
      <c r="D129" s="18">
        <v>100</v>
      </c>
      <c r="E129" s="20" t="s">
        <v>10</v>
      </c>
      <c r="I129" s="17">
        <v>7</v>
      </c>
      <c r="J129" s="18"/>
      <c r="K129" s="8">
        <v>581</v>
      </c>
      <c r="L129" s="18">
        <v>50</v>
      </c>
      <c r="M129" s="5" t="s">
        <v>9</v>
      </c>
      <c r="N129" s="16" t="s">
        <v>12</v>
      </c>
    </row>
    <row r="130" spans="1:14" x14ac:dyDescent="0.3">
      <c r="A130" s="17">
        <v>9</v>
      </c>
      <c r="B130" s="18"/>
      <c r="C130" s="19">
        <v>92</v>
      </c>
      <c r="D130" s="18">
        <v>1000</v>
      </c>
      <c r="E130" s="20" t="s">
        <v>9</v>
      </c>
      <c r="I130" s="17">
        <v>7</v>
      </c>
      <c r="J130" s="18"/>
      <c r="K130" s="8">
        <v>518</v>
      </c>
      <c r="L130" s="18">
        <v>50</v>
      </c>
      <c r="M130" s="5" t="s">
        <v>9</v>
      </c>
      <c r="N130" s="16" t="s">
        <v>12</v>
      </c>
    </row>
    <row r="131" spans="1:14" x14ac:dyDescent="0.3">
      <c r="A131" s="17">
        <v>9</v>
      </c>
      <c r="B131" s="18"/>
      <c r="C131" s="19">
        <v>29</v>
      </c>
      <c r="D131" s="18">
        <v>600</v>
      </c>
      <c r="E131" s="20" t="s">
        <v>10</v>
      </c>
      <c r="I131" s="17">
        <v>7</v>
      </c>
      <c r="J131" s="18"/>
      <c r="K131" s="8">
        <v>815</v>
      </c>
      <c r="L131" s="18">
        <v>50</v>
      </c>
      <c r="M131" s="5" t="s">
        <v>9</v>
      </c>
      <c r="N131" s="16" t="s">
        <v>12</v>
      </c>
    </row>
    <row r="132" spans="1:14" x14ac:dyDescent="0.3">
      <c r="A132" s="17">
        <v>9</v>
      </c>
      <c r="B132" s="18"/>
      <c r="C132" s="19">
        <v>92</v>
      </c>
      <c r="D132" s="18">
        <v>1000</v>
      </c>
      <c r="E132" s="20" t="s">
        <v>9</v>
      </c>
      <c r="I132" s="17">
        <v>7</v>
      </c>
      <c r="J132" s="18"/>
      <c r="K132" s="8">
        <v>851</v>
      </c>
      <c r="L132" s="18">
        <v>50</v>
      </c>
      <c r="M132" s="5" t="s">
        <v>9</v>
      </c>
      <c r="N132" s="16" t="s">
        <v>12</v>
      </c>
    </row>
    <row r="133" spans="1:14" x14ac:dyDescent="0.3">
      <c r="A133" s="17">
        <v>9</v>
      </c>
      <c r="B133" s="18"/>
      <c r="C133" s="19">
        <v>29</v>
      </c>
      <c r="D133" s="18">
        <v>600</v>
      </c>
      <c r="E133" s="20" t="s">
        <v>10</v>
      </c>
      <c r="I133" s="17">
        <v>7</v>
      </c>
      <c r="J133" s="18"/>
      <c r="K133" s="8">
        <v>158</v>
      </c>
      <c r="L133" s="18">
        <v>50</v>
      </c>
      <c r="M133" s="5" t="s">
        <v>9</v>
      </c>
      <c r="N133" s="16" t="s">
        <v>12</v>
      </c>
    </row>
    <row r="134" spans="1:14" x14ac:dyDescent="0.3">
      <c r="A134" s="17">
        <v>10</v>
      </c>
      <c r="B134" s="18"/>
      <c r="C134" s="19">
        <v>88</v>
      </c>
      <c r="D134" s="18">
        <v>50</v>
      </c>
      <c r="E134" s="20" t="s">
        <v>9</v>
      </c>
      <c r="I134" s="17">
        <v>7</v>
      </c>
      <c r="J134" s="18"/>
      <c r="K134" s="24">
        <v>185</v>
      </c>
      <c r="L134" s="18">
        <v>50</v>
      </c>
      <c r="M134" s="5" t="s">
        <v>9</v>
      </c>
      <c r="N134" s="16" t="s">
        <v>12</v>
      </c>
    </row>
    <row r="135" spans="1:14" x14ac:dyDescent="0.3">
      <c r="A135" s="17">
        <v>10</v>
      </c>
      <c r="B135" s="18"/>
      <c r="C135" s="19">
        <v>22</v>
      </c>
      <c r="D135" s="18">
        <v>50</v>
      </c>
      <c r="E135" s="20" t="s">
        <v>9</v>
      </c>
      <c r="I135" s="17">
        <v>7</v>
      </c>
      <c r="J135" s="18"/>
      <c r="K135" s="24">
        <v>586</v>
      </c>
      <c r="L135" s="18">
        <v>50</v>
      </c>
      <c r="M135" s="5" t="s">
        <v>9</v>
      </c>
      <c r="N135" s="20" t="s">
        <v>8</v>
      </c>
    </row>
    <row r="136" spans="1:14" x14ac:dyDescent="0.3">
      <c r="A136" s="17">
        <v>10</v>
      </c>
      <c r="B136" s="18"/>
      <c r="C136" s="19">
        <v>88</v>
      </c>
      <c r="D136" s="18">
        <v>50</v>
      </c>
      <c r="E136" s="20" t="s">
        <v>10</v>
      </c>
      <c r="I136" s="17">
        <v>7</v>
      </c>
      <c r="J136" s="18"/>
      <c r="K136" s="24">
        <v>568</v>
      </c>
      <c r="L136" s="18">
        <v>50</v>
      </c>
      <c r="M136" s="5" t="s">
        <v>9</v>
      </c>
      <c r="N136" s="20" t="s">
        <v>8</v>
      </c>
    </row>
    <row r="137" spans="1:14" x14ac:dyDescent="0.3">
      <c r="A137" s="17">
        <v>10</v>
      </c>
      <c r="B137" s="18"/>
      <c r="C137" s="19">
        <v>22</v>
      </c>
      <c r="D137" s="18">
        <v>50</v>
      </c>
      <c r="E137" s="20" t="s">
        <v>10</v>
      </c>
      <c r="I137" s="17">
        <v>7</v>
      </c>
      <c r="J137" s="18"/>
      <c r="K137" s="24">
        <v>856</v>
      </c>
      <c r="L137" s="18">
        <v>50</v>
      </c>
      <c r="M137" s="5" t="s">
        <v>9</v>
      </c>
      <c r="N137" s="20" t="s">
        <v>8</v>
      </c>
    </row>
    <row r="138" spans="1:14" x14ac:dyDescent="0.3">
      <c r="A138" s="17">
        <v>11</v>
      </c>
      <c r="B138" s="18"/>
      <c r="C138" s="19">
        <v>15</v>
      </c>
      <c r="D138" s="18">
        <v>20</v>
      </c>
      <c r="E138" s="20" t="s">
        <v>9</v>
      </c>
      <c r="I138" s="17">
        <v>7</v>
      </c>
      <c r="J138" s="18"/>
      <c r="K138" s="24">
        <v>865</v>
      </c>
      <c r="L138" s="18">
        <v>50</v>
      </c>
      <c r="M138" s="5" t="s">
        <v>9</v>
      </c>
      <c r="N138" s="20" t="s">
        <v>8</v>
      </c>
    </row>
    <row r="139" spans="1:14" x14ac:dyDescent="0.3">
      <c r="A139" s="17">
        <v>11</v>
      </c>
      <c r="B139" s="18"/>
      <c r="C139" s="19">
        <v>51</v>
      </c>
      <c r="D139" s="18">
        <v>20</v>
      </c>
      <c r="E139" s="20" t="s">
        <v>9</v>
      </c>
      <c r="I139" s="17">
        <v>7</v>
      </c>
      <c r="J139" s="18"/>
      <c r="K139" s="24">
        <v>685</v>
      </c>
      <c r="L139" s="18">
        <v>50</v>
      </c>
      <c r="M139" s="5" t="s">
        <v>9</v>
      </c>
      <c r="N139" s="20" t="s">
        <v>8</v>
      </c>
    </row>
    <row r="140" spans="1:14" x14ac:dyDescent="0.3">
      <c r="A140" s="17">
        <v>11</v>
      </c>
      <c r="B140" s="18"/>
      <c r="C140" s="9">
        <v>15</v>
      </c>
      <c r="D140" s="18">
        <v>20</v>
      </c>
      <c r="E140" s="16" t="s">
        <v>10</v>
      </c>
      <c r="I140" s="17">
        <v>7</v>
      </c>
      <c r="J140" s="18"/>
      <c r="K140" s="24">
        <v>658</v>
      </c>
      <c r="L140" s="18">
        <v>50</v>
      </c>
      <c r="M140" s="5" t="s">
        <v>9</v>
      </c>
      <c r="N140" s="20" t="s">
        <v>8</v>
      </c>
    </row>
    <row r="141" spans="1:14" x14ac:dyDescent="0.3">
      <c r="A141" s="17">
        <v>11</v>
      </c>
      <c r="B141" s="18"/>
      <c r="C141" s="19">
        <v>51</v>
      </c>
      <c r="D141" s="18">
        <v>20</v>
      </c>
      <c r="E141" s="16" t="s">
        <v>10</v>
      </c>
      <c r="I141" s="17">
        <v>7</v>
      </c>
      <c r="J141" s="18"/>
      <c r="K141" s="8">
        <v>586</v>
      </c>
      <c r="L141" s="18">
        <v>50</v>
      </c>
      <c r="M141" s="5" t="s">
        <v>9</v>
      </c>
      <c r="N141" s="16" t="s">
        <v>12</v>
      </c>
    </row>
    <row r="142" spans="1:14" x14ac:dyDescent="0.3">
      <c r="A142" s="17">
        <v>12</v>
      </c>
      <c r="B142" s="18"/>
      <c r="C142" s="19">
        <v>29</v>
      </c>
      <c r="D142" s="18">
        <v>200</v>
      </c>
      <c r="E142" s="20" t="s">
        <v>9</v>
      </c>
      <c r="I142" s="17">
        <v>7</v>
      </c>
      <c r="J142" s="18"/>
      <c r="K142" s="8">
        <v>568</v>
      </c>
      <c r="L142" s="18">
        <v>50</v>
      </c>
      <c r="M142" s="5" t="s">
        <v>9</v>
      </c>
      <c r="N142" s="16" t="s">
        <v>12</v>
      </c>
    </row>
    <row r="143" spans="1:14" x14ac:dyDescent="0.3">
      <c r="A143" s="17">
        <v>12</v>
      </c>
      <c r="B143" s="18"/>
      <c r="C143" s="19">
        <v>92</v>
      </c>
      <c r="D143" s="18">
        <v>200</v>
      </c>
      <c r="E143" s="20" t="s">
        <v>9</v>
      </c>
      <c r="I143" s="17">
        <v>7</v>
      </c>
      <c r="J143" s="18"/>
      <c r="K143" s="8">
        <v>856</v>
      </c>
      <c r="L143" s="18">
        <v>50</v>
      </c>
      <c r="M143" s="5" t="s">
        <v>9</v>
      </c>
      <c r="N143" s="16" t="s">
        <v>12</v>
      </c>
    </row>
    <row r="144" spans="1:14" x14ac:dyDescent="0.3">
      <c r="A144" s="17">
        <v>12</v>
      </c>
      <c r="B144" s="18"/>
      <c r="C144" s="19">
        <v>93</v>
      </c>
      <c r="D144" s="18">
        <v>100</v>
      </c>
      <c r="E144" s="20" t="s">
        <v>9</v>
      </c>
      <c r="I144" s="17">
        <v>7</v>
      </c>
      <c r="J144" s="18"/>
      <c r="K144" s="8">
        <v>865</v>
      </c>
      <c r="L144" s="18">
        <v>50</v>
      </c>
      <c r="M144" s="5" t="s">
        <v>9</v>
      </c>
      <c r="N144" s="16" t="s">
        <v>12</v>
      </c>
    </row>
    <row r="145" spans="1:14" x14ac:dyDescent="0.3">
      <c r="A145" s="17">
        <v>12</v>
      </c>
      <c r="B145" s="18"/>
      <c r="C145" s="19">
        <v>39</v>
      </c>
      <c r="D145" s="18">
        <v>100</v>
      </c>
      <c r="E145" s="20" t="s">
        <v>9</v>
      </c>
      <c r="I145" s="17">
        <v>7</v>
      </c>
      <c r="J145" s="18"/>
      <c r="K145" s="8">
        <v>685</v>
      </c>
      <c r="L145" s="18">
        <v>50</v>
      </c>
      <c r="M145" s="5" t="s">
        <v>9</v>
      </c>
      <c r="N145" s="16" t="s">
        <v>12</v>
      </c>
    </row>
    <row r="146" spans="1:14" x14ac:dyDescent="0.3">
      <c r="A146" s="15">
        <v>12</v>
      </c>
      <c r="B146" s="18"/>
      <c r="C146" s="9">
        <v>29</v>
      </c>
      <c r="D146" s="5">
        <v>300</v>
      </c>
      <c r="E146" s="16" t="s">
        <v>10</v>
      </c>
      <c r="I146" s="17">
        <v>7</v>
      </c>
      <c r="J146" s="18"/>
      <c r="K146" s="24">
        <v>658</v>
      </c>
      <c r="L146" s="18">
        <v>50</v>
      </c>
      <c r="M146" s="5" t="s">
        <v>9</v>
      </c>
      <c r="N146" s="16" t="s">
        <v>12</v>
      </c>
    </row>
    <row r="147" spans="1:14" x14ac:dyDescent="0.3">
      <c r="A147" s="15">
        <v>12</v>
      </c>
      <c r="B147" s="18"/>
      <c r="C147" s="9">
        <v>92</v>
      </c>
      <c r="D147" s="5">
        <v>300</v>
      </c>
      <c r="E147" s="16" t="s">
        <v>10</v>
      </c>
      <c r="I147" s="17">
        <v>15</v>
      </c>
      <c r="J147" s="18"/>
      <c r="K147" s="24">
        <v>178</v>
      </c>
      <c r="L147" s="18">
        <v>50</v>
      </c>
      <c r="M147" s="18" t="s">
        <v>9</v>
      </c>
      <c r="N147" s="20" t="s">
        <v>8</v>
      </c>
    </row>
    <row r="148" spans="1:14" x14ac:dyDescent="0.3">
      <c r="A148" s="15">
        <v>12</v>
      </c>
      <c r="B148" s="18"/>
      <c r="C148" s="9">
        <v>93</v>
      </c>
      <c r="D148" s="5">
        <v>200</v>
      </c>
      <c r="E148" s="16" t="s">
        <v>10</v>
      </c>
      <c r="I148" s="17">
        <v>15</v>
      </c>
      <c r="J148" s="18"/>
      <c r="K148" s="24">
        <v>278</v>
      </c>
      <c r="L148" s="18">
        <v>50</v>
      </c>
      <c r="M148" s="18" t="s">
        <v>9</v>
      </c>
      <c r="N148" s="20" t="s">
        <v>8</v>
      </c>
    </row>
    <row r="149" spans="1:14" x14ac:dyDescent="0.3">
      <c r="A149" s="17">
        <v>12</v>
      </c>
      <c r="B149" s="18"/>
      <c r="C149" s="19">
        <v>39</v>
      </c>
      <c r="D149" s="18">
        <v>100</v>
      </c>
      <c r="E149" s="16" t="s">
        <v>10</v>
      </c>
      <c r="I149" s="17">
        <v>15</v>
      </c>
      <c r="J149" s="18"/>
      <c r="K149" s="8">
        <v>178</v>
      </c>
      <c r="L149" s="18">
        <v>50</v>
      </c>
      <c r="M149" s="18" t="s">
        <v>9</v>
      </c>
      <c r="N149" s="16" t="s">
        <v>12</v>
      </c>
    </row>
    <row r="150" spans="1:14" x14ac:dyDescent="0.3">
      <c r="A150" s="17">
        <v>13</v>
      </c>
      <c r="B150" s="18"/>
      <c r="C150" s="19">
        <v>50</v>
      </c>
      <c r="D150" s="18">
        <v>50</v>
      </c>
      <c r="E150" s="20" t="s">
        <v>9</v>
      </c>
      <c r="I150" s="17">
        <v>15</v>
      </c>
      <c r="J150" s="18"/>
      <c r="K150" s="24">
        <v>278</v>
      </c>
      <c r="L150" s="18">
        <v>50</v>
      </c>
      <c r="M150" s="18" t="s">
        <v>9</v>
      </c>
      <c r="N150" s="16" t="s">
        <v>12</v>
      </c>
    </row>
    <row r="151" spans="1:14" x14ac:dyDescent="0.3">
      <c r="A151" s="17">
        <v>13</v>
      </c>
      <c r="B151" s="18"/>
      <c r="C151" s="19">
        <v>5</v>
      </c>
      <c r="D151" s="18">
        <v>50</v>
      </c>
      <c r="E151" s="20" t="s">
        <v>9</v>
      </c>
      <c r="I151" s="17">
        <v>3</v>
      </c>
      <c r="J151" s="18"/>
      <c r="K151" s="24">
        <v>739</v>
      </c>
      <c r="L151" s="18">
        <v>50</v>
      </c>
      <c r="M151" s="18" t="s">
        <v>9</v>
      </c>
      <c r="N151" s="20" t="s">
        <v>8</v>
      </c>
    </row>
    <row r="152" spans="1:14" x14ac:dyDescent="0.3">
      <c r="A152" s="17">
        <v>13</v>
      </c>
      <c r="B152" s="18"/>
      <c r="C152" s="19">
        <v>15</v>
      </c>
      <c r="D152" s="18">
        <v>50</v>
      </c>
      <c r="E152" s="20" t="s">
        <v>9</v>
      </c>
      <c r="I152" s="17">
        <v>3</v>
      </c>
      <c r="J152" s="18"/>
      <c r="K152" s="24">
        <v>734</v>
      </c>
      <c r="L152" s="18">
        <v>50</v>
      </c>
      <c r="M152" s="18" t="s">
        <v>9</v>
      </c>
      <c r="N152" s="20" t="s">
        <v>8</v>
      </c>
    </row>
    <row r="153" spans="1:14" x14ac:dyDescent="0.3">
      <c r="A153" s="17">
        <v>13</v>
      </c>
      <c r="B153" s="18"/>
      <c r="C153" s="19">
        <v>51</v>
      </c>
      <c r="D153" s="18">
        <v>50</v>
      </c>
      <c r="E153" s="20" t="s">
        <v>9</v>
      </c>
      <c r="I153" s="17">
        <v>3</v>
      </c>
      <c r="J153" s="18"/>
      <c r="K153" s="24">
        <v>205</v>
      </c>
      <c r="L153" s="18">
        <v>20</v>
      </c>
      <c r="M153" s="18" t="s">
        <v>9</v>
      </c>
      <c r="N153" s="20" t="s">
        <v>8</v>
      </c>
    </row>
    <row r="154" spans="1:14" x14ac:dyDescent="0.3">
      <c r="A154" s="17">
        <v>13</v>
      </c>
      <c r="B154" s="18"/>
      <c r="C154" s="9">
        <v>50</v>
      </c>
      <c r="D154" s="18">
        <v>50</v>
      </c>
      <c r="E154" s="16" t="s">
        <v>10</v>
      </c>
      <c r="I154" s="17">
        <v>3</v>
      </c>
      <c r="J154" s="18"/>
      <c r="K154" s="8">
        <v>739</v>
      </c>
      <c r="L154" s="5">
        <v>50</v>
      </c>
      <c r="M154" s="18" t="s">
        <v>9</v>
      </c>
      <c r="N154" s="16" t="s">
        <v>12</v>
      </c>
    </row>
    <row r="155" spans="1:14" x14ac:dyDescent="0.3">
      <c r="A155" s="17">
        <v>13</v>
      </c>
      <c r="B155" s="18"/>
      <c r="C155" s="9">
        <v>5</v>
      </c>
      <c r="D155" s="18">
        <v>50</v>
      </c>
      <c r="E155" s="16" t="s">
        <v>10</v>
      </c>
      <c r="I155" s="17">
        <v>3</v>
      </c>
      <c r="J155" s="18"/>
      <c r="K155" s="8">
        <v>734</v>
      </c>
      <c r="L155" s="5">
        <v>50</v>
      </c>
      <c r="M155" s="18" t="s">
        <v>9</v>
      </c>
      <c r="N155" s="16" t="s">
        <v>12</v>
      </c>
    </row>
    <row r="156" spans="1:14" x14ac:dyDescent="0.3">
      <c r="A156" s="17">
        <v>13</v>
      </c>
      <c r="B156" s="18"/>
      <c r="C156" s="9">
        <v>15</v>
      </c>
      <c r="D156" s="18">
        <v>50</v>
      </c>
      <c r="E156" s="16" t="s">
        <v>10</v>
      </c>
      <c r="I156" s="17">
        <v>3</v>
      </c>
      <c r="J156" s="18"/>
      <c r="K156" s="24">
        <v>205</v>
      </c>
      <c r="L156" s="18">
        <v>20</v>
      </c>
      <c r="M156" s="18" t="s">
        <v>9</v>
      </c>
      <c r="N156" s="16" t="s">
        <v>12</v>
      </c>
    </row>
    <row r="157" spans="1:14" x14ac:dyDescent="0.3">
      <c r="A157" s="17">
        <v>13</v>
      </c>
      <c r="B157" s="18"/>
      <c r="C157" s="19">
        <v>51</v>
      </c>
      <c r="D157" s="18">
        <v>50</v>
      </c>
      <c r="E157" s="16" t="s">
        <v>10</v>
      </c>
      <c r="I157" s="17">
        <v>17</v>
      </c>
      <c r="J157" s="18"/>
      <c r="K157" s="24">
        <v>417</v>
      </c>
      <c r="L157" s="18">
        <v>100</v>
      </c>
      <c r="M157" s="18" t="s">
        <v>9</v>
      </c>
      <c r="N157" s="20" t="s">
        <v>8</v>
      </c>
    </row>
    <row r="158" spans="1:14" x14ac:dyDescent="0.3">
      <c r="A158" s="17">
        <v>13</v>
      </c>
      <c r="B158" s="18"/>
      <c r="C158" s="9">
        <v>18</v>
      </c>
      <c r="D158" s="5">
        <v>20</v>
      </c>
      <c r="E158" s="16" t="s">
        <v>9</v>
      </c>
      <c r="I158" s="17">
        <v>17</v>
      </c>
      <c r="J158" s="18"/>
      <c r="K158" s="24">
        <v>417</v>
      </c>
      <c r="L158" s="18">
        <v>100</v>
      </c>
      <c r="M158" s="18" t="s">
        <v>9</v>
      </c>
      <c r="N158" s="16" t="s">
        <v>12</v>
      </c>
    </row>
    <row r="159" spans="1:14" x14ac:dyDescent="0.3">
      <c r="A159" s="17">
        <v>13</v>
      </c>
      <c r="B159" s="18"/>
      <c r="C159" s="19">
        <v>81</v>
      </c>
      <c r="D159" s="5">
        <v>20</v>
      </c>
      <c r="E159" s="16" t="s">
        <v>9</v>
      </c>
      <c r="I159" s="17">
        <v>17</v>
      </c>
      <c r="J159" s="18"/>
      <c r="K159" s="24">
        <v>563</v>
      </c>
      <c r="L159" s="18">
        <v>100</v>
      </c>
      <c r="M159" s="18" t="s">
        <v>9</v>
      </c>
      <c r="N159" s="20" t="s">
        <v>8</v>
      </c>
    </row>
    <row r="160" spans="1:14" x14ac:dyDescent="0.3">
      <c r="A160" s="17">
        <v>13</v>
      </c>
      <c r="B160" s="18"/>
      <c r="C160" s="19">
        <v>23</v>
      </c>
      <c r="D160" s="5">
        <v>20</v>
      </c>
      <c r="E160" s="16" t="s">
        <v>9</v>
      </c>
      <c r="I160" s="17">
        <v>17</v>
      </c>
      <c r="J160" s="18"/>
      <c r="K160" s="24">
        <v>255</v>
      </c>
      <c r="L160" s="18">
        <v>100</v>
      </c>
      <c r="M160" s="18" t="s">
        <v>9</v>
      </c>
      <c r="N160" s="20" t="s">
        <v>8</v>
      </c>
    </row>
    <row r="161" spans="1:14" x14ac:dyDescent="0.3">
      <c r="A161" s="17">
        <v>13</v>
      </c>
      <c r="B161" s="18"/>
      <c r="C161" s="19">
        <v>32</v>
      </c>
      <c r="D161" s="5">
        <v>20</v>
      </c>
      <c r="E161" s="16" t="s">
        <v>9</v>
      </c>
      <c r="I161" s="17">
        <v>17</v>
      </c>
      <c r="J161" s="18"/>
      <c r="K161" s="24">
        <v>855</v>
      </c>
      <c r="L161" s="18">
        <v>100</v>
      </c>
      <c r="M161" s="18" t="s">
        <v>9</v>
      </c>
      <c r="N161" s="20" t="s">
        <v>8</v>
      </c>
    </row>
    <row r="162" spans="1:14" x14ac:dyDescent="0.3">
      <c r="A162" s="17">
        <v>13</v>
      </c>
      <c r="B162" s="18"/>
      <c r="C162" s="19">
        <v>24</v>
      </c>
      <c r="D162" s="5">
        <v>20</v>
      </c>
      <c r="E162" s="16" t="s">
        <v>9</v>
      </c>
      <c r="I162" s="17">
        <v>17</v>
      </c>
      <c r="J162" s="18"/>
      <c r="K162" s="24">
        <v>563</v>
      </c>
      <c r="L162" s="18">
        <v>100</v>
      </c>
      <c r="M162" s="18" t="s">
        <v>9</v>
      </c>
      <c r="N162" s="20" t="s">
        <v>12</v>
      </c>
    </row>
    <row r="163" spans="1:14" x14ac:dyDescent="0.3">
      <c r="A163" s="17">
        <v>13</v>
      </c>
      <c r="B163" s="18"/>
      <c r="C163" s="19">
        <v>42</v>
      </c>
      <c r="D163" s="5">
        <v>20</v>
      </c>
      <c r="E163" s="16" t="s">
        <v>9</v>
      </c>
      <c r="I163" s="17">
        <v>17</v>
      </c>
      <c r="J163" s="18"/>
      <c r="K163" s="24">
        <v>255</v>
      </c>
      <c r="L163" s="18">
        <v>100</v>
      </c>
      <c r="M163" s="18" t="s">
        <v>9</v>
      </c>
      <c r="N163" s="20" t="s">
        <v>12</v>
      </c>
    </row>
    <row r="164" spans="1:14" x14ac:dyDescent="0.3">
      <c r="A164" s="17">
        <v>13</v>
      </c>
      <c r="B164" s="18"/>
      <c r="C164" s="19">
        <v>25</v>
      </c>
      <c r="D164" s="5">
        <v>20</v>
      </c>
      <c r="E164" s="16" t="s">
        <v>9</v>
      </c>
      <c r="I164" s="17">
        <v>17</v>
      </c>
      <c r="J164" s="18"/>
      <c r="K164" s="24">
        <v>855</v>
      </c>
      <c r="L164" s="18">
        <v>100</v>
      </c>
      <c r="M164" s="18" t="s">
        <v>9</v>
      </c>
      <c r="N164" s="20" t="s">
        <v>12</v>
      </c>
    </row>
    <row r="165" spans="1:14" x14ac:dyDescent="0.3">
      <c r="A165" s="17">
        <v>13</v>
      </c>
      <c r="B165" s="18"/>
      <c r="C165" s="19">
        <v>52</v>
      </c>
      <c r="D165" s="5">
        <v>20</v>
      </c>
      <c r="E165" s="16" t="s">
        <v>9</v>
      </c>
      <c r="I165" s="17">
        <v>7</v>
      </c>
      <c r="J165" s="18"/>
      <c r="K165" s="24">
        <v>984</v>
      </c>
      <c r="L165" s="18">
        <v>50</v>
      </c>
      <c r="M165" s="18" t="s">
        <v>10</v>
      </c>
      <c r="N165" s="20" t="s">
        <v>8</v>
      </c>
    </row>
    <row r="166" spans="1:14" x14ac:dyDescent="0.3">
      <c r="A166" s="17">
        <v>13</v>
      </c>
      <c r="B166" s="18"/>
      <c r="C166" s="19">
        <v>26</v>
      </c>
      <c r="D166" s="5">
        <v>20</v>
      </c>
      <c r="E166" s="16" t="s">
        <v>9</v>
      </c>
      <c r="I166" s="17">
        <v>7</v>
      </c>
      <c r="J166" s="18"/>
      <c r="K166" s="24">
        <v>549</v>
      </c>
      <c r="L166" s="18">
        <v>200</v>
      </c>
      <c r="M166" s="18" t="s">
        <v>10</v>
      </c>
      <c r="N166" s="20" t="s">
        <v>8</v>
      </c>
    </row>
    <row r="167" spans="1:14" x14ac:dyDescent="0.3">
      <c r="A167" s="17">
        <v>13</v>
      </c>
      <c r="B167" s="18"/>
      <c r="C167" s="19">
        <v>62</v>
      </c>
      <c r="D167" s="5">
        <v>20</v>
      </c>
      <c r="E167" s="16" t="s">
        <v>9</v>
      </c>
      <c r="I167" s="17">
        <v>7</v>
      </c>
      <c r="J167" s="18"/>
      <c r="K167" s="8">
        <v>894</v>
      </c>
      <c r="L167" s="5">
        <v>50</v>
      </c>
      <c r="M167" s="18" t="s">
        <v>10</v>
      </c>
      <c r="N167" s="20" t="s">
        <v>8</v>
      </c>
    </row>
    <row r="168" spans="1:14" x14ac:dyDescent="0.3">
      <c r="A168" s="17">
        <v>13</v>
      </c>
      <c r="B168" s="18"/>
      <c r="C168" s="19">
        <v>28</v>
      </c>
      <c r="D168" s="5">
        <v>20</v>
      </c>
      <c r="E168" s="16" t="s">
        <v>9</v>
      </c>
      <c r="I168" s="17">
        <v>12</v>
      </c>
      <c r="J168" s="18"/>
      <c r="K168" s="24">
        <v>35</v>
      </c>
      <c r="L168" s="18">
        <v>50</v>
      </c>
      <c r="M168" s="18" t="s">
        <v>9</v>
      </c>
      <c r="N168" s="20" t="s">
        <v>8</v>
      </c>
    </row>
    <row r="169" spans="1:14" x14ac:dyDescent="0.3">
      <c r="A169" s="17">
        <v>13</v>
      </c>
      <c r="B169" s="18"/>
      <c r="C169" s="19">
        <v>82</v>
      </c>
      <c r="D169" s="5">
        <v>20</v>
      </c>
      <c r="E169" s="16" t="s">
        <v>9</v>
      </c>
      <c r="I169" s="17">
        <v>12</v>
      </c>
      <c r="J169" s="18"/>
      <c r="K169" s="24">
        <v>521</v>
      </c>
      <c r="L169" s="18">
        <v>100</v>
      </c>
      <c r="M169" s="18" t="s">
        <v>9</v>
      </c>
      <c r="N169" s="20" t="s">
        <v>8</v>
      </c>
    </row>
    <row r="170" spans="1:14" x14ac:dyDescent="0.3">
      <c r="A170" s="17">
        <v>13</v>
      </c>
      <c r="B170" s="18"/>
      <c r="C170" s="19">
        <v>37</v>
      </c>
      <c r="D170" s="5">
        <v>20</v>
      </c>
      <c r="E170" s="16" t="s">
        <v>9</v>
      </c>
      <c r="I170" s="17">
        <v>12</v>
      </c>
      <c r="J170" s="18"/>
      <c r="K170" s="8">
        <v>35</v>
      </c>
      <c r="L170" s="5">
        <v>50</v>
      </c>
      <c r="M170" s="18" t="s">
        <v>9</v>
      </c>
      <c r="N170" s="16" t="s">
        <v>12</v>
      </c>
    </row>
    <row r="171" spans="1:14" x14ac:dyDescent="0.3">
      <c r="A171" s="17">
        <v>13</v>
      </c>
      <c r="B171" s="18"/>
      <c r="C171" s="19">
        <v>73</v>
      </c>
      <c r="D171" s="5">
        <v>20</v>
      </c>
      <c r="E171" s="16" t="s">
        <v>9</v>
      </c>
      <c r="I171" s="17">
        <v>12</v>
      </c>
      <c r="J171" s="18"/>
      <c r="K171" s="24">
        <v>521</v>
      </c>
      <c r="L171" s="18">
        <v>100</v>
      </c>
      <c r="M171" s="18" t="s">
        <v>9</v>
      </c>
      <c r="N171" s="16" t="s">
        <v>12</v>
      </c>
    </row>
    <row r="172" spans="1:14" x14ac:dyDescent="0.3">
      <c r="A172" s="17">
        <v>13</v>
      </c>
      <c r="B172" s="18"/>
      <c r="C172" s="19">
        <v>54</v>
      </c>
      <c r="D172" s="5">
        <v>20</v>
      </c>
      <c r="E172" s="16" t="s">
        <v>9</v>
      </c>
      <c r="I172" s="17">
        <v>19</v>
      </c>
      <c r="J172" s="18"/>
      <c r="K172" s="24">
        <v>938</v>
      </c>
      <c r="L172" s="18">
        <v>60</v>
      </c>
      <c r="M172" s="18" t="s">
        <v>9</v>
      </c>
      <c r="N172" s="20" t="s">
        <v>8</v>
      </c>
    </row>
    <row r="173" spans="1:14" x14ac:dyDescent="0.3">
      <c r="A173" s="17">
        <v>13</v>
      </c>
      <c r="B173" s="18"/>
      <c r="C173" s="19">
        <v>45</v>
      </c>
      <c r="D173" s="5">
        <v>20</v>
      </c>
      <c r="E173" s="16" t="s">
        <v>9</v>
      </c>
      <c r="I173" s="17">
        <v>19</v>
      </c>
      <c r="J173" s="18"/>
      <c r="K173" s="24">
        <v>723</v>
      </c>
      <c r="L173" s="18">
        <v>60</v>
      </c>
      <c r="M173" s="18" t="s">
        <v>9</v>
      </c>
      <c r="N173" s="20" t="s">
        <v>8</v>
      </c>
    </row>
    <row r="174" spans="1:14" x14ac:dyDescent="0.3">
      <c r="A174" s="17">
        <v>13</v>
      </c>
      <c r="B174" s="18"/>
      <c r="C174" s="19">
        <v>29</v>
      </c>
      <c r="D174" s="5">
        <v>20</v>
      </c>
      <c r="E174" s="16" t="s">
        <v>9</v>
      </c>
      <c r="I174" s="17">
        <v>19</v>
      </c>
      <c r="J174" s="18"/>
      <c r="K174" s="8">
        <v>938</v>
      </c>
      <c r="L174" s="18">
        <v>60</v>
      </c>
      <c r="M174" s="18" t="s">
        <v>9</v>
      </c>
      <c r="N174" s="16" t="s">
        <v>12</v>
      </c>
    </row>
    <row r="175" spans="1:14" x14ac:dyDescent="0.3">
      <c r="A175" s="17">
        <v>13</v>
      </c>
      <c r="B175" s="18"/>
      <c r="C175" s="19">
        <v>92</v>
      </c>
      <c r="D175" s="5">
        <v>20</v>
      </c>
      <c r="E175" s="16" t="s">
        <v>9</v>
      </c>
      <c r="I175" s="17">
        <v>19</v>
      </c>
      <c r="J175" s="18"/>
      <c r="K175" s="24">
        <v>723</v>
      </c>
      <c r="L175" s="18">
        <v>60</v>
      </c>
      <c r="M175" s="18" t="s">
        <v>9</v>
      </c>
      <c r="N175" s="16" t="s">
        <v>12</v>
      </c>
    </row>
    <row r="176" spans="1:14" x14ac:dyDescent="0.3">
      <c r="A176" s="17">
        <v>13</v>
      </c>
      <c r="B176" s="18"/>
      <c r="C176" s="19">
        <v>39</v>
      </c>
      <c r="D176" s="5">
        <v>20</v>
      </c>
      <c r="E176" s="16" t="s">
        <v>9</v>
      </c>
      <c r="I176" s="17">
        <v>19</v>
      </c>
      <c r="J176" s="18"/>
      <c r="K176" s="24">
        <v>450</v>
      </c>
      <c r="L176" s="18">
        <v>50</v>
      </c>
      <c r="M176" s="18" t="s">
        <v>9</v>
      </c>
      <c r="N176" s="20" t="s">
        <v>8</v>
      </c>
    </row>
    <row r="177" spans="1:14" x14ac:dyDescent="0.3">
      <c r="A177" s="17">
        <v>13</v>
      </c>
      <c r="B177" s="18"/>
      <c r="C177" s="19">
        <v>93</v>
      </c>
      <c r="D177" s="5">
        <v>20</v>
      </c>
      <c r="E177" s="16" t="s">
        <v>9</v>
      </c>
      <c r="I177" s="17">
        <v>19</v>
      </c>
      <c r="J177" s="18"/>
      <c r="K177" s="24">
        <v>467</v>
      </c>
      <c r="L177" s="18">
        <v>50</v>
      </c>
      <c r="M177" s="18" t="s">
        <v>9</v>
      </c>
      <c r="N177" s="20" t="s">
        <v>8</v>
      </c>
    </row>
    <row r="178" spans="1:14" x14ac:dyDescent="0.3">
      <c r="A178" s="17">
        <v>13</v>
      </c>
      <c r="B178" s="18"/>
      <c r="C178" s="9">
        <v>18</v>
      </c>
      <c r="D178" s="5">
        <v>20</v>
      </c>
      <c r="E178" s="16" t="s">
        <v>10</v>
      </c>
      <c r="I178" s="17">
        <v>19</v>
      </c>
      <c r="J178" s="18"/>
      <c r="K178" s="24">
        <v>461</v>
      </c>
      <c r="L178" s="18">
        <v>50</v>
      </c>
      <c r="M178" s="18" t="s">
        <v>9</v>
      </c>
      <c r="N178" s="20" t="s">
        <v>8</v>
      </c>
    </row>
    <row r="179" spans="1:14" x14ac:dyDescent="0.3">
      <c r="A179" s="17">
        <v>13</v>
      </c>
      <c r="B179" s="18"/>
      <c r="C179" s="9">
        <v>81</v>
      </c>
      <c r="D179" s="5">
        <v>20</v>
      </c>
      <c r="E179" s="16" t="s">
        <v>10</v>
      </c>
      <c r="I179" s="17">
        <v>19</v>
      </c>
      <c r="J179" s="18"/>
      <c r="K179" s="8">
        <v>450</v>
      </c>
      <c r="L179" s="18">
        <v>50</v>
      </c>
      <c r="M179" s="18" t="s">
        <v>9</v>
      </c>
      <c r="N179" s="16" t="s">
        <v>12</v>
      </c>
    </row>
    <row r="180" spans="1:14" x14ac:dyDescent="0.3">
      <c r="A180" s="17">
        <v>13</v>
      </c>
      <c r="B180" s="18"/>
      <c r="C180" s="9">
        <v>23</v>
      </c>
      <c r="D180" s="5">
        <v>20</v>
      </c>
      <c r="E180" s="16" t="s">
        <v>10</v>
      </c>
      <c r="I180" s="17">
        <v>19</v>
      </c>
      <c r="J180" s="18"/>
      <c r="K180" s="8">
        <v>467</v>
      </c>
      <c r="L180" s="18">
        <v>50</v>
      </c>
      <c r="M180" s="18" t="s">
        <v>9</v>
      </c>
      <c r="N180" s="16" t="s">
        <v>12</v>
      </c>
    </row>
    <row r="181" spans="1:14" x14ac:dyDescent="0.3">
      <c r="A181" s="17">
        <v>13</v>
      </c>
      <c r="B181" s="18"/>
      <c r="C181" s="9">
        <v>32</v>
      </c>
      <c r="D181" s="5">
        <v>20</v>
      </c>
      <c r="E181" s="16" t="s">
        <v>10</v>
      </c>
      <c r="I181" s="17">
        <v>19</v>
      </c>
      <c r="J181" s="18"/>
      <c r="K181" s="24">
        <v>461</v>
      </c>
      <c r="L181" s="18">
        <v>50</v>
      </c>
      <c r="M181" s="18" t="s">
        <v>9</v>
      </c>
      <c r="N181" s="16" t="s">
        <v>12</v>
      </c>
    </row>
    <row r="182" spans="1:14" x14ac:dyDescent="0.3">
      <c r="A182" s="17">
        <v>13</v>
      </c>
      <c r="B182" s="18"/>
      <c r="C182" s="9">
        <v>24</v>
      </c>
      <c r="D182" s="5">
        <v>20</v>
      </c>
      <c r="E182" s="16" t="s">
        <v>10</v>
      </c>
      <c r="I182" s="17">
        <v>16</v>
      </c>
      <c r="J182" s="18"/>
      <c r="K182" s="24">
        <v>117</v>
      </c>
      <c r="L182" s="18">
        <v>50</v>
      </c>
      <c r="M182" s="18" t="s">
        <v>9</v>
      </c>
      <c r="N182" s="20" t="s">
        <v>8</v>
      </c>
    </row>
    <row r="183" spans="1:14" x14ac:dyDescent="0.3">
      <c r="A183" s="17">
        <v>13</v>
      </c>
      <c r="B183" s="18"/>
      <c r="C183" s="9">
        <v>42</v>
      </c>
      <c r="D183" s="5">
        <v>20</v>
      </c>
      <c r="E183" s="16" t="s">
        <v>10</v>
      </c>
      <c r="I183" s="17">
        <v>21</v>
      </c>
      <c r="J183" s="18"/>
      <c r="K183" s="24">
        <v>423</v>
      </c>
      <c r="L183" s="18">
        <v>50</v>
      </c>
      <c r="M183" s="18" t="s">
        <v>9</v>
      </c>
      <c r="N183" s="20" t="s">
        <v>8</v>
      </c>
    </row>
    <row r="184" spans="1:14" x14ac:dyDescent="0.3">
      <c r="A184" s="17">
        <v>13</v>
      </c>
      <c r="B184" s="18"/>
      <c r="C184" s="9">
        <v>25</v>
      </c>
      <c r="D184" s="5">
        <v>20</v>
      </c>
      <c r="E184" s="16" t="s">
        <v>10</v>
      </c>
      <c r="I184" s="17">
        <v>21</v>
      </c>
      <c r="J184" s="18"/>
      <c r="K184" s="24">
        <v>364</v>
      </c>
      <c r="L184" s="18">
        <v>50</v>
      </c>
      <c r="M184" s="18" t="s">
        <v>9</v>
      </c>
      <c r="N184" s="20" t="s">
        <v>8</v>
      </c>
    </row>
    <row r="185" spans="1:14" x14ac:dyDescent="0.3">
      <c r="A185" s="17">
        <v>13</v>
      </c>
      <c r="B185" s="18"/>
      <c r="C185" s="9">
        <v>52</v>
      </c>
      <c r="D185" s="5">
        <v>20</v>
      </c>
      <c r="E185" s="16" t="s">
        <v>10</v>
      </c>
      <c r="I185" s="17">
        <v>21</v>
      </c>
      <c r="J185" s="18"/>
      <c r="K185" s="24">
        <v>945</v>
      </c>
      <c r="L185" s="18">
        <v>30</v>
      </c>
      <c r="M185" s="18" t="s">
        <v>9</v>
      </c>
      <c r="N185" s="20" t="s">
        <v>8</v>
      </c>
    </row>
    <row r="186" spans="1:14" x14ac:dyDescent="0.3">
      <c r="A186" s="17">
        <v>13</v>
      </c>
      <c r="B186" s="18"/>
      <c r="C186" s="9">
        <v>26</v>
      </c>
      <c r="D186" s="5">
        <v>20</v>
      </c>
      <c r="E186" s="16" t="s">
        <v>10</v>
      </c>
      <c r="I186" s="17">
        <v>21</v>
      </c>
      <c r="J186" s="18"/>
      <c r="K186" s="24">
        <v>308</v>
      </c>
      <c r="L186" s="18">
        <v>30</v>
      </c>
      <c r="M186" s="18" t="s">
        <v>9</v>
      </c>
      <c r="N186" s="20" t="s">
        <v>8</v>
      </c>
    </row>
    <row r="187" spans="1:14" x14ac:dyDescent="0.3">
      <c r="A187" s="17">
        <v>13</v>
      </c>
      <c r="B187" s="18"/>
      <c r="C187" s="9">
        <v>62</v>
      </c>
      <c r="D187" s="5">
        <v>20</v>
      </c>
      <c r="E187" s="16" t="s">
        <v>10</v>
      </c>
      <c r="I187" s="17">
        <v>21</v>
      </c>
      <c r="J187" s="18"/>
      <c r="K187" s="24">
        <v>309</v>
      </c>
      <c r="L187" s="18">
        <v>30</v>
      </c>
      <c r="M187" s="18" t="s">
        <v>9</v>
      </c>
      <c r="N187" s="20" t="s">
        <v>8</v>
      </c>
    </row>
    <row r="188" spans="1:14" x14ac:dyDescent="0.3">
      <c r="A188" s="17">
        <v>13</v>
      </c>
      <c r="B188" s="18"/>
      <c r="C188" s="9">
        <v>28</v>
      </c>
      <c r="D188" s="5">
        <v>20</v>
      </c>
      <c r="E188" s="16" t="s">
        <v>10</v>
      </c>
      <c r="I188" s="17">
        <v>21</v>
      </c>
      <c r="J188" s="18"/>
      <c r="K188" s="8">
        <v>423</v>
      </c>
      <c r="L188" s="18">
        <v>50</v>
      </c>
      <c r="M188" s="18" t="s">
        <v>9</v>
      </c>
      <c r="N188" s="16" t="s">
        <v>12</v>
      </c>
    </row>
    <row r="189" spans="1:14" x14ac:dyDescent="0.3">
      <c r="A189" s="17">
        <v>13</v>
      </c>
      <c r="B189" s="18"/>
      <c r="C189" s="9">
        <v>82</v>
      </c>
      <c r="D189" s="5">
        <v>20</v>
      </c>
      <c r="E189" s="16" t="s">
        <v>10</v>
      </c>
      <c r="I189" s="17">
        <v>21</v>
      </c>
      <c r="J189" s="18"/>
      <c r="K189" s="8">
        <v>364</v>
      </c>
      <c r="L189" s="18">
        <v>50</v>
      </c>
      <c r="M189" s="18" t="s">
        <v>9</v>
      </c>
      <c r="N189" s="16" t="s">
        <v>12</v>
      </c>
    </row>
    <row r="190" spans="1:14" x14ac:dyDescent="0.3">
      <c r="A190" s="17">
        <v>13</v>
      </c>
      <c r="B190" s="18"/>
      <c r="C190" s="9">
        <v>37</v>
      </c>
      <c r="D190" s="5">
        <v>20</v>
      </c>
      <c r="E190" s="16" t="s">
        <v>10</v>
      </c>
      <c r="I190" s="17">
        <v>21</v>
      </c>
      <c r="J190" s="18"/>
      <c r="K190" s="8">
        <v>945</v>
      </c>
      <c r="L190" s="18">
        <v>30</v>
      </c>
      <c r="M190" s="18" t="s">
        <v>9</v>
      </c>
      <c r="N190" s="16" t="s">
        <v>12</v>
      </c>
    </row>
    <row r="191" spans="1:14" x14ac:dyDescent="0.3">
      <c r="A191" s="17">
        <v>13</v>
      </c>
      <c r="B191" s="18"/>
      <c r="C191" s="9">
        <v>73</v>
      </c>
      <c r="D191" s="5">
        <v>20</v>
      </c>
      <c r="E191" s="16" t="s">
        <v>10</v>
      </c>
      <c r="I191" s="17">
        <v>21</v>
      </c>
      <c r="J191" s="18"/>
      <c r="K191" s="8">
        <v>308</v>
      </c>
      <c r="L191" s="18">
        <v>30</v>
      </c>
      <c r="M191" s="18" t="s">
        <v>9</v>
      </c>
      <c r="N191" s="16" t="s">
        <v>12</v>
      </c>
    </row>
    <row r="192" spans="1:14" x14ac:dyDescent="0.3">
      <c r="A192" s="17">
        <v>13</v>
      </c>
      <c r="B192" s="18"/>
      <c r="C192" s="9">
        <v>54</v>
      </c>
      <c r="D192" s="5">
        <v>20</v>
      </c>
      <c r="E192" s="16" t="s">
        <v>10</v>
      </c>
      <c r="I192" s="17">
        <v>21</v>
      </c>
      <c r="J192" s="18"/>
      <c r="K192" s="24">
        <v>309</v>
      </c>
      <c r="L192" s="18">
        <v>30</v>
      </c>
      <c r="M192" s="18" t="s">
        <v>9</v>
      </c>
      <c r="N192" s="16" t="s">
        <v>12</v>
      </c>
    </row>
    <row r="193" spans="1:14" x14ac:dyDescent="0.3">
      <c r="A193" s="17">
        <v>13</v>
      </c>
      <c r="B193" s="18"/>
      <c r="C193" s="9">
        <v>45</v>
      </c>
      <c r="D193" s="5">
        <v>20</v>
      </c>
      <c r="E193" s="16" t="s">
        <v>10</v>
      </c>
      <c r="I193" s="17">
        <v>22</v>
      </c>
      <c r="J193" s="18"/>
      <c r="K193" s="24">
        <v>375</v>
      </c>
      <c r="L193" s="18">
        <v>20</v>
      </c>
      <c r="M193" s="18" t="s">
        <v>9</v>
      </c>
      <c r="N193" s="20" t="s">
        <v>8</v>
      </c>
    </row>
    <row r="194" spans="1:14" x14ac:dyDescent="0.3">
      <c r="A194" s="17">
        <v>13</v>
      </c>
      <c r="B194" s="18"/>
      <c r="C194" s="9">
        <v>29</v>
      </c>
      <c r="D194" s="5">
        <v>20</v>
      </c>
      <c r="E194" s="16" t="s">
        <v>10</v>
      </c>
      <c r="I194" s="17">
        <v>22</v>
      </c>
      <c r="J194" s="18"/>
      <c r="K194" s="24">
        <v>875</v>
      </c>
      <c r="L194" s="18">
        <v>20</v>
      </c>
      <c r="M194" s="18" t="s">
        <v>9</v>
      </c>
      <c r="N194" s="20" t="s">
        <v>8</v>
      </c>
    </row>
    <row r="195" spans="1:14" x14ac:dyDescent="0.3">
      <c r="A195" s="17">
        <v>13</v>
      </c>
      <c r="B195" s="18"/>
      <c r="C195" s="9">
        <v>92</v>
      </c>
      <c r="D195" s="5">
        <v>20</v>
      </c>
      <c r="E195" s="16" t="s">
        <v>10</v>
      </c>
      <c r="I195" s="17">
        <v>22</v>
      </c>
      <c r="J195" s="18"/>
      <c r="K195" s="24">
        <v>892</v>
      </c>
      <c r="L195" s="18">
        <v>20</v>
      </c>
      <c r="M195" s="18" t="s">
        <v>9</v>
      </c>
      <c r="N195" s="20" t="s">
        <v>8</v>
      </c>
    </row>
    <row r="196" spans="1:14" x14ac:dyDescent="0.3">
      <c r="A196" s="17">
        <v>13</v>
      </c>
      <c r="B196" s="18"/>
      <c r="C196" s="9">
        <v>39</v>
      </c>
      <c r="D196" s="5">
        <v>20</v>
      </c>
      <c r="E196" s="16" t="s">
        <v>10</v>
      </c>
      <c r="I196" s="17">
        <v>22</v>
      </c>
      <c r="J196" s="18"/>
      <c r="K196" s="24">
        <v>947</v>
      </c>
      <c r="L196" s="18">
        <v>20</v>
      </c>
      <c r="M196" s="18" t="s">
        <v>9</v>
      </c>
      <c r="N196" s="20" t="s">
        <v>8</v>
      </c>
    </row>
    <row r="197" spans="1:14" x14ac:dyDescent="0.3">
      <c r="A197" s="17">
        <v>13</v>
      </c>
      <c r="B197" s="18"/>
      <c r="C197" s="19">
        <v>93</v>
      </c>
      <c r="D197" s="5">
        <v>20</v>
      </c>
      <c r="E197" s="16" t="s">
        <v>10</v>
      </c>
      <c r="I197" s="17">
        <v>22</v>
      </c>
      <c r="J197" s="18"/>
      <c r="K197" s="24">
        <v>981</v>
      </c>
      <c r="L197" s="18">
        <v>20</v>
      </c>
      <c r="M197" s="18" t="s">
        <v>9</v>
      </c>
      <c r="N197" s="20" t="s">
        <v>8</v>
      </c>
    </row>
    <row r="198" spans="1:14" x14ac:dyDescent="0.3">
      <c r="A198" s="17">
        <v>13</v>
      </c>
      <c r="B198" s="18"/>
      <c r="C198" s="19">
        <v>46</v>
      </c>
      <c r="D198" s="5">
        <v>40</v>
      </c>
      <c r="E198" s="20" t="s">
        <v>9</v>
      </c>
      <c r="I198" s="17">
        <v>22</v>
      </c>
      <c r="J198" s="18"/>
      <c r="K198" s="8">
        <v>375</v>
      </c>
      <c r="L198" s="18">
        <v>20</v>
      </c>
      <c r="M198" s="18" t="s">
        <v>9</v>
      </c>
      <c r="N198" s="16" t="s">
        <v>12</v>
      </c>
    </row>
    <row r="199" spans="1:14" x14ac:dyDescent="0.3">
      <c r="A199" s="17">
        <v>13</v>
      </c>
      <c r="B199" s="18"/>
      <c r="C199" s="19">
        <v>64</v>
      </c>
      <c r="D199" s="5">
        <v>40</v>
      </c>
      <c r="E199" s="20" t="s">
        <v>9</v>
      </c>
      <c r="I199" s="17">
        <v>22</v>
      </c>
      <c r="J199" s="18"/>
      <c r="K199" s="8">
        <v>875</v>
      </c>
      <c r="L199" s="18">
        <v>20</v>
      </c>
      <c r="M199" s="18" t="s">
        <v>9</v>
      </c>
      <c r="N199" s="16" t="s">
        <v>12</v>
      </c>
    </row>
    <row r="200" spans="1:14" x14ac:dyDescent="0.3">
      <c r="A200" s="17">
        <v>13</v>
      </c>
      <c r="B200" s="18"/>
      <c r="C200" s="19">
        <v>56</v>
      </c>
      <c r="D200" s="5">
        <v>40</v>
      </c>
      <c r="E200" s="20" t="s">
        <v>9</v>
      </c>
      <c r="I200" s="17">
        <v>22</v>
      </c>
      <c r="J200" s="18"/>
      <c r="K200" s="8">
        <v>892</v>
      </c>
      <c r="L200" s="18">
        <v>20</v>
      </c>
      <c r="M200" s="18" t="s">
        <v>9</v>
      </c>
      <c r="N200" s="16" t="s">
        <v>12</v>
      </c>
    </row>
    <row r="201" spans="1:14" x14ac:dyDescent="0.3">
      <c r="A201" s="17">
        <v>13</v>
      </c>
      <c r="B201" s="18"/>
      <c r="C201" s="19">
        <v>65</v>
      </c>
      <c r="D201" s="5">
        <v>40</v>
      </c>
      <c r="E201" s="20" t="s">
        <v>9</v>
      </c>
      <c r="I201" s="17">
        <v>22</v>
      </c>
      <c r="J201" s="18"/>
      <c r="K201" s="8">
        <v>947</v>
      </c>
      <c r="L201" s="18">
        <v>20</v>
      </c>
      <c r="M201" s="18" t="s">
        <v>9</v>
      </c>
      <c r="N201" s="16" t="s">
        <v>12</v>
      </c>
    </row>
    <row r="202" spans="1:14" x14ac:dyDescent="0.3">
      <c r="A202" s="17">
        <v>13</v>
      </c>
      <c r="B202" s="18"/>
      <c r="C202" s="19">
        <v>57</v>
      </c>
      <c r="D202" s="5">
        <v>40</v>
      </c>
      <c r="E202" s="20" t="s">
        <v>9</v>
      </c>
      <c r="I202" s="17">
        <v>22</v>
      </c>
      <c r="J202" s="18"/>
      <c r="K202" s="24">
        <v>981</v>
      </c>
      <c r="L202" s="18">
        <v>20</v>
      </c>
      <c r="M202" s="18" t="s">
        <v>9</v>
      </c>
      <c r="N202" s="16" t="s">
        <v>12</v>
      </c>
    </row>
    <row r="203" spans="1:14" x14ac:dyDescent="0.3">
      <c r="A203" s="17">
        <v>13</v>
      </c>
      <c r="B203" s="18"/>
      <c r="C203" s="19">
        <v>75</v>
      </c>
      <c r="D203" s="5">
        <v>40</v>
      </c>
      <c r="E203" s="20" t="s">
        <v>9</v>
      </c>
      <c r="I203" s="17">
        <v>22</v>
      </c>
      <c r="J203" s="18"/>
      <c r="K203" s="24">
        <v>715</v>
      </c>
      <c r="L203" s="18">
        <v>20</v>
      </c>
      <c r="M203" s="18" t="s">
        <v>9</v>
      </c>
      <c r="N203" s="16" t="s">
        <v>12</v>
      </c>
    </row>
    <row r="204" spans="1:14" x14ac:dyDescent="0.3">
      <c r="A204" s="17">
        <v>13</v>
      </c>
      <c r="B204" s="18"/>
      <c r="C204" s="19">
        <v>58</v>
      </c>
      <c r="D204" s="5">
        <v>40</v>
      </c>
      <c r="E204" s="20" t="s">
        <v>9</v>
      </c>
      <c r="I204" s="17">
        <v>22</v>
      </c>
      <c r="J204" s="18"/>
      <c r="K204" s="24">
        <v>715</v>
      </c>
      <c r="L204" s="18">
        <v>20</v>
      </c>
      <c r="M204" s="18" t="s">
        <v>9</v>
      </c>
      <c r="N204" s="20" t="s">
        <v>8</v>
      </c>
    </row>
    <row r="205" spans="1:14" x14ac:dyDescent="0.3">
      <c r="A205" s="17">
        <v>13</v>
      </c>
      <c r="B205" s="18"/>
      <c r="C205" s="19">
        <v>85</v>
      </c>
      <c r="D205" s="5">
        <v>40</v>
      </c>
      <c r="E205" s="20" t="s">
        <v>9</v>
      </c>
      <c r="I205" s="17">
        <v>7</v>
      </c>
      <c r="J205" s="18"/>
      <c r="K205" s="24">
        <v>866</v>
      </c>
      <c r="L205" s="18">
        <v>30</v>
      </c>
      <c r="M205" s="18" t="s">
        <v>9</v>
      </c>
      <c r="N205" s="20" t="s">
        <v>8</v>
      </c>
    </row>
    <row r="206" spans="1:14" x14ac:dyDescent="0.3">
      <c r="A206" s="17">
        <v>13</v>
      </c>
      <c r="B206" s="18"/>
      <c r="C206" s="19">
        <v>59</v>
      </c>
      <c r="D206" s="5">
        <v>40</v>
      </c>
      <c r="E206" s="20" t="s">
        <v>9</v>
      </c>
      <c r="I206" s="17">
        <v>7</v>
      </c>
      <c r="J206" s="18"/>
      <c r="K206" s="24">
        <v>869</v>
      </c>
      <c r="L206" s="18">
        <v>20</v>
      </c>
      <c r="M206" s="18" t="s">
        <v>9</v>
      </c>
      <c r="N206" s="20" t="s">
        <v>8</v>
      </c>
    </row>
    <row r="207" spans="1:14" x14ac:dyDescent="0.3">
      <c r="A207" s="17">
        <v>13</v>
      </c>
      <c r="B207" s="18"/>
      <c r="C207" s="19">
        <v>95</v>
      </c>
      <c r="D207" s="5">
        <v>40</v>
      </c>
      <c r="E207" s="20" t="s">
        <v>9</v>
      </c>
      <c r="I207" s="17">
        <v>7</v>
      </c>
      <c r="J207" s="18"/>
      <c r="K207" s="24">
        <v>396</v>
      </c>
      <c r="L207" s="18">
        <v>50</v>
      </c>
      <c r="M207" s="18" t="s">
        <v>9</v>
      </c>
      <c r="N207" s="20" t="s">
        <v>8</v>
      </c>
    </row>
    <row r="208" spans="1:14" x14ac:dyDescent="0.3">
      <c r="A208" s="17">
        <v>13</v>
      </c>
      <c r="B208" s="18"/>
      <c r="C208" s="19">
        <v>47</v>
      </c>
      <c r="D208" s="5">
        <v>40</v>
      </c>
      <c r="E208" s="20" t="s">
        <v>9</v>
      </c>
      <c r="I208" s="17">
        <v>7</v>
      </c>
      <c r="J208" s="18"/>
      <c r="K208" s="24">
        <v>231</v>
      </c>
      <c r="L208" s="18">
        <v>20</v>
      </c>
      <c r="M208" s="18" t="s">
        <v>9</v>
      </c>
      <c r="N208" s="20" t="s">
        <v>8</v>
      </c>
    </row>
    <row r="209" spans="1:14" x14ac:dyDescent="0.3">
      <c r="A209" s="17">
        <v>13</v>
      </c>
      <c r="B209" s="18"/>
      <c r="C209" s="19">
        <v>74</v>
      </c>
      <c r="D209" s="5">
        <v>40</v>
      </c>
      <c r="E209" s="20" t="s">
        <v>9</v>
      </c>
      <c r="I209" s="17">
        <v>7</v>
      </c>
      <c r="J209" s="18"/>
      <c r="K209" s="24">
        <v>731</v>
      </c>
      <c r="L209" s="18">
        <v>30</v>
      </c>
      <c r="M209" s="18" t="s">
        <v>9</v>
      </c>
      <c r="N209" s="20" t="s">
        <v>8</v>
      </c>
    </row>
    <row r="210" spans="1:14" x14ac:dyDescent="0.3">
      <c r="A210" s="17">
        <v>13</v>
      </c>
      <c r="B210" s="18"/>
      <c r="C210" s="19">
        <v>78</v>
      </c>
      <c r="D210" s="5">
        <v>40</v>
      </c>
      <c r="E210" s="20" t="s">
        <v>9</v>
      </c>
      <c r="I210" s="17">
        <v>7</v>
      </c>
      <c r="J210" s="18"/>
      <c r="K210" s="24">
        <v>273</v>
      </c>
      <c r="L210" s="18">
        <v>20</v>
      </c>
      <c r="M210" s="18" t="s">
        <v>9</v>
      </c>
      <c r="N210" s="20" t="s">
        <v>8</v>
      </c>
    </row>
    <row r="211" spans="1:14" x14ac:dyDescent="0.3">
      <c r="A211" s="17">
        <v>13</v>
      </c>
      <c r="B211" s="18"/>
      <c r="C211" s="19">
        <v>87</v>
      </c>
      <c r="D211" s="5">
        <v>40</v>
      </c>
      <c r="E211" s="20" t="s">
        <v>9</v>
      </c>
      <c r="I211" s="17">
        <v>7</v>
      </c>
      <c r="J211" s="18"/>
      <c r="K211" s="24">
        <v>528</v>
      </c>
      <c r="L211" s="18">
        <v>20</v>
      </c>
      <c r="M211" s="18" t="s">
        <v>9</v>
      </c>
      <c r="N211" s="20" t="s">
        <v>8</v>
      </c>
    </row>
    <row r="212" spans="1:14" x14ac:dyDescent="0.3">
      <c r="A212" s="17">
        <v>13</v>
      </c>
      <c r="B212" s="18"/>
      <c r="C212" s="19">
        <v>79</v>
      </c>
      <c r="D212" s="5">
        <v>40</v>
      </c>
      <c r="E212" s="20" t="s">
        <v>9</v>
      </c>
      <c r="I212" s="17">
        <v>7</v>
      </c>
      <c r="J212" s="18"/>
      <c r="K212" s="8">
        <v>866</v>
      </c>
      <c r="L212" s="18">
        <v>30</v>
      </c>
      <c r="M212" s="18" t="s">
        <v>9</v>
      </c>
      <c r="N212" s="16" t="s">
        <v>12</v>
      </c>
    </row>
    <row r="213" spans="1:14" x14ac:dyDescent="0.3">
      <c r="A213" s="17">
        <v>13</v>
      </c>
      <c r="B213" s="18"/>
      <c r="C213" s="19">
        <v>97</v>
      </c>
      <c r="D213" s="5">
        <v>40</v>
      </c>
      <c r="E213" s="20" t="s">
        <v>9</v>
      </c>
      <c r="I213" s="17">
        <v>7</v>
      </c>
      <c r="J213" s="18"/>
      <c r="K213" s="8">
        <v>869</v>
      </c>
      <c r="L213" s="18">
        <v>20</v>
      </c>
      <c r="M213" s="18" t="s">
        <v>9</v>
      </c>
      <c r="N213" s="16" t="s">
        <v>12</v>
      </c>
    </row>
    <row r="214" spans="1:14" x14ac:dyDescent="0.3">
      <c r="A214" s="17">
        <v>13</v>
      </c>
      <c r="B214" s="18"/>
      <c r="C214" s="19">
        <v>89</v>
      </c>
      <c r="D214" s="5">
        <v>40</v>
      </c>
      <c r="E214" s="20" t="s">
        <v>9</v>
      </c>
      <c r="I214" s="17">
        <v>7</v>
      </c>
      <c r="J214" s="18"/>
      <c r="K214" s="8">
        <v>396</v>
      </c>
      <c r="L214" s="18">
        <v>50</v>
      </c>
      <c r="M214" s="18" t="s">
        <v>9</v>
      </c>
      <c r="N214" s="16" t="s">
        <v>12</v>
      </c>
    </row>
    <row r="215" spans="1:14" x14ac:dyDescent="0.3">
      <c r="A215" s="17">
        <v>13</v>
      </c>
      <c r="B215" s="18"/>
      <c r="C215" s="19">
        <v>98</v>
      </c>
      <c r="D215" s="5">
        <v>40</v>
      </c>
      <c r="E215" s="20" t="s">
        <v>9</v>
      </c>
      <c r="I215" s="17">
        <v>7</v>
      </c>
      <c r="J215" s="18"/>
      <c r="K215" s="8">
        <v>231</v>
      </c>
      <c r="L215" s="18">
        <v>20</v>
      </c>
      <c r="M215" s="18" t="s">
        <v>9</v>
      </c>
      <c r="N215" s="16" t="s">
        <v>12</v>
      </c>
    </row>
    <row r="216" spans="1:14" x14ac:dyDescent="0.3">
      <c r="A216" s="17">
        <v>13</v>
      </c>
      <c r="B216" s="18"/>
      <c r="C216" s="19">
        <v>19</v>
      </c>
      <c r="D216" s="5">
        <v>40</v>
      </c>
      <c r="E216" s="20" t="s">
        <v>9</v>
      </c>
      <c r="I216" s="17">
        <v>7</v>
      </c>
      <c r="J216" s="18"/>
      <c r="K216" s="8">
        <v>731</v>
      </c>
      <c r="L216" s="18">
        <v>30</v>
      </c>
      <c r="M216" s="18" t="s">
        <v>9</v>
      </c>
      <c r="N216" s="16" t="s">
        <v>12</v>
      </c>
    </row>
    <row r="217" spans="1:14" x14ac:dyDescent="0.3">
      <c r="A217" s="17">
        <v>13</v>
      </c>
      <c r="B217" s="18"/>
      <c r="C217" s="19">
        <v>91</v>
      </c>
      <c r="D217" s="5">
        <v>40</v>
      </c>
      <c r="E217" s="20" t="s">
        <v>9</v>
      </c>
      <c r="I217" s="17">
        <v>7</v>
      </c>
      <c r="J217" s="18"/>
      <c r="K217" s="8">
        <v>273</v>
      </c>
      <c r="L217" s="18">
        <v>20</v>
      </c>
      <c r="M217" s="18" t="s">
        <v>9</v>
      </c>
      <c r="N217" s="16" t="s">
        <v>12</v>
      </c>
    </row>
    <row r="218" spans="1:14" x14ac:dyDescent="0.3">
      <c r="A218" s="17">
        <v>13</v>
      </c>
      <c r="B218" s="18"/>
      <c r="C218" s="19">
        <v>46</v>
      </c>
      <c r="D218" s="5">
        <v>40</v>
      </c>
      <c r="E218" s="16" t="s">
        <v>10</v>
      </c>
      <c r="I218" s="17">
        <v>7</v>
      </c>
      <c r="J218" s="18"/>
      <c r="K218" s="24">
        <v>528</v>
      </c>
      <c r="L218" s="18">
        <v>20</v>
      </c>
      <c r="M218" s="18" t="s">
        <v>9</v>
      </c>
      <c r="N218" s="16" t="s">
        <v>12</v>
      </c>
    </row>
    <row r="219" spans="1:14" x14ac:dyDescent="0.3">
      <c r="A219" s="17">
        <v>13</v>
      </c>
      <c r="B219" s="18"/>
      <c r="C219" s="19">
        <v>64</v>
      </c>
      <c r="D219" s="5">
        <v>40</v>
      </c>
      <c r="E219" s="16" t="s">
        <v>10</v>
      </c>
      <c r="I219" s="17">
        <v>17</v>
      </c>
      <c r="J219" s="18"/>
      <c r="K219" s="24">
        <v>709</v>
      </c>
      <c r="L219" s="18">
        <v>50</v>
      </c>
      <c r="M219" s="18" t="s">
        <v>9</v>
      </c>
      <c r="N219" s="20" t="s">
        <v>8</v>
      </c>
    </row>
    <row r="220" spans="1:14" x14ac:dyDescent="0.3">
      <c r="A220" s="17">
        <v>13</v>
      </c>
      <c r="B220" s="18"/>
      <c r="C220" s="19">
        <v>56</v>
      </c>
      <c r="D220" s="5">
        <v>40</v>
      </c>
      <c r="E220" s="16" t="s">
        <v>10</v>
      </c>
      <c r="I220" s="17">
        <v>17</v>
      </c>
      <c r="J220" s="18"/>
      <c r="K220" s="24">
        <v>79</v>
      </c>
      <c r="L220" s="18">
        <v>50</v>
      </c>
      <c r="M220" s="18" t="s">
        <v>9</v>
      </c>
      <c r="N220" s="20" t="s">
        <v>8</v>
      </c>
    </row>
    <row r="221" spans="1:14" x14ac:dyDescent="0.3">
      <c r="A221" s="17">
        <v>13</v>
      </c>
      <c r="B221" s="18"/>
      <c r="C221" s="19">
        <v>65</v>
      </c>
      <c r="D221" s="5">
        <v>40</v>
      </c>
      <c r="E221" s="16" t="s">
        <v>10</v>
      </c>
      <c r="I221" s="17">
        <v>17</v>
      </c>
      <c r="J221" s="18"/>
      <c r="K221" s="8">
        <v>709</v>
      </c>
      <c r="L221" s="18">
        <v>50</v>
      </c>
      <c r="M221" s="18" t="s">
        <v>9</v>
      </c>
      <c r="N221" s="16" t="s">
        <v>12</v>
      </c>
    </row>
    <row r="222" spans="1:14" x14ac:dyDescent="0.3">
      <c r="A222" s="17">
        <v>13</v>
      </c>
      <c r="B222" s="18"/>
      <c r="C222" s="19">
        <v>57</v>
      </c>
      <c r="D222" s="5">
        <v>40</v>
      </c>
      <c r="E222" s="16" t="s">
        <v>10</v>
      </c>
      <c r="I222" s="17">
        <v>17</v>
      </c>
      <c r="J222" s="18"/>
      <c r="K222" s="24">
        <v>79</v>
      </c>
      <c r="L222" s="18">
        <v>50</v>
      </c>
      <c r="M222" s="18" t="s">
        <v>9</v>
      </c>
      <c r="N222" s="16" t="s">
        <v>12</v>
      </c>
    </row>
    <row r="223" spans="1:14" x14ac:dyDescent="0.3">
      <c r="A223" s="17">
        <v>13</v>
      </c>
      <c r="B223" s="18"/>
      <c r="C223" s="19">
        <v>75</v>
      </c>
      <c r="D223" s="5">
        <v>40</v>
      </c>
      <c r="E223" s="16" t="s">
        <v>10</v>
      </c>
      <c r="I223" s="17">
        <v>24</v>
      </c>
      <c r="J223" s="18"/>
      <c r="K223" s="24">
        <v>935</v>
      </c>
      <c r="L223" s="18">
        <v>100</v>
      </c>
      <c r="M223" s="18" t="s">
        <v>9</v>
      </c>
      <c r="N223" s="20" t="s">
        <v>8</v>
      </c>
    </row>
    <row r="224" spans="1:14" x14ac:dyDescent="0.3">
      <c r="A224" s="17">
        <v>13</v>
      </c>
      <c r="B224" s="18"/>
      <c r="C224" s="19">
        <v>58</v>
      </c>
      <c r="D224" s="5">
        <v>40</v>
      </c>
      <c r="E224" s="16" t="s">
        <v>10</v>
      </c>
      <c r="I224" s="17">
        <v>24</v>
      </c>
      <c r="J224" s="18"/>
      <c r="K224" s="24">
        <v>538</v>
      </c>
      <c r="L224" s="18">
        <v>100</v>
      </c>
      <c r="M224" s="18" t="s">
        <v>9</v>
      </c>
      <c r="N224" s="20" t="s">
        <v>8</v>
      </c>
    </row>
    <row r="225" spans="1:14" x14ac:dyDescent="0.3">
      <c r="A225" s="17">
        <v>13</v>
      </c>
      <c r="B225" s="18"/>
      <c r="C225" s="19">
        <v>85</v>
      </c>
      <c r="D225" s="5">
        <v>40</v>
      </c>
      <c r="E225" s="16" t="s">
        <v>10</v>
      </c>
      <c r="I225" s="17">
        <v>24</v>
      </c>
      <c r="J225" s="18"/>
      <c r="K225" s="24">
        <v>357</v>
      </c>
      <c r="L225" s="18">
        <v>200</v>
      </c>
      <c r="M225" s="18" t="s">
        <v>9</v>
      </c>
      <c r="N225" s="20" t="s">
        <v>8</v>
      </c>
    </row>
    <row r="226" spans="1:14" x14ac:dyDescent="0.3">
      <c r="A226" s="17">
        <v>13</v>
      </c>
      <c r="B226" s="18"/>
      <c r="C226" s="19">
        <v>59</v>
      </c>
      <c r="D226" s="5">
        <v>40</v>
      </c>
      <c r="E226" s="16" t="s">
        <v>10</v>
      </c>
      <c r="I226" s="17">
        <v>24</v>
      </c>
      <c r="J226" s="18"/>
      <c r="K226" s="24">
        <v>958</v>
      </c>
      <c r="L226" s="18">
        <v>100</v>
      </c>
      <c r="M226" s="18" t="s">
        <v>9</v>
      </c>
      <c r="N226" s="20" t="s">
        <v>8</v>
      </c>
    </row>
    <row r="227" spans="1:14" x14ac:dyDescent="0.3">
      <c r="A227" s="17">
        <v>13</v>
      </c>
      <c r="B227" s="18"/>
      <c r="C227" s="19">
        <v>95</v>
      </c>
      <c r="D227" s="5">
        <v>40</v>
      </c>
      <c r="E227" s="16" t="s">
        <v>10</v>
      </c>
      <c r="I227" s="17">
        <v>24</v>
      </c>
      <c r="J227" s="18"/>
      <c r="K227" s="24">
        <v>985</v>
      </c>
      <c r="L227" s="18">
        <v>200</v>
      </c>
      <c r="M227" s="18" t="s">
        <v>9</v>
      </c>
      <c r="N227" s="20" t="s">
        <v>8</v>
      </c>
    </row>
    <row r="228" spans="1:14" x14ac:dyDescent="0.3">
      <c r="A228" s="17">
        <v>13</v>
      </c>
      <c r="B228" s="18"/>
      <c r="C228" s="19">
        <v>47</v>
      </c>
      <c r="D228" s="5">
        <v>40</v>
      </c>
      <c r="E228" s="16" t="s">
        <v>10</v>
      </c>
      <c r="I228" s="17">
        <v>24</v>
      </c>
      <c r="J228" s="18"/>
      <c r="K228" s="24">
        <v>957</v>
      </c>
      <c r="L228" s="18">
        <v>100</v>
      </c>
      <c r="M228" s="18" t="s">
        <v>9</v>
      </c>
      <c r="N228" s="20" t="s">
        <v>8</v>
      </c>
    </row>
    <row r="229" spans="1:14" x14ac:dyDescent="0.3">
      <c r="A229" s="17">
        <v>13</v>
      </c>
      <c r="B229" s="18"/>
      <c r="C229" s="19">
        <v>74</v>
      </c>
      <c r="D229" s="5">
        <v>40</v>
      </c>
      <c r="E229" s="16" t="s">
        <v>10</v>
      </c>
      <c r="I229" s="17">
        <v>24</v>
      </c>
      <c r="J229" s="18"/>
      <c r="K229" s="24">
        <v>478</v>
      </c>
      <c r="L229" s="18">
        <v>100</v>
      </c>
      <c r="M229" s="18" t="s">
        <v>9</v>
      </c>
      <c r="N229" s="20" t="s">
        <v>8</v>
      </c>
    </row>
    <row r="230" spans="1:14" x14ac:dyDescent="0.3">
      <c r="A230" s="17">
        <v>13</v>
      </c>
      <c r="B230" s="18"/>
      <c r="C230" s="19">
        <v>78</v>
      </c>
      <c r="D230" s="5">
        <v>40</v>
      </c>
      <c r="E230" s="16" t="s">
        <v>10</v>
      </c>
      <c r="I230" s="17">
        <v>24</v>
      </c>
      <c r="J230" s="18"/>
      <c r="K230" s="24">
        <v>678</v>
      </c>
      <c r="L230" s="18">
        <v>100</v>
      </c>
      <c r="M230" s="18" t="s">
        <v>9</v>
      </c>
      <c r="N230" s="20" t="s">
        <v>8</v>
      </c>
    </row>
    <row r="231" spans="1:14" x14ac:dyDescent="0.3">
      <c r="A231" s="17">
        <v>13</v>
      </c>
      <c r="B231" s="18"/>
      <c r="C231" s="19">
        <v>87</v>
      </c>
      <c r="D231" s="5">
        <v>40</v>
      </c>
      <c r="E231" s="16" t="s">
        <v>10</v>
      </c>
      <c r="I231" s="17">
        <v>24</v>
      </c>
      <c r="J231" s="18"/>
      <c r="K231" s="24">
        <v>768</v>
      </c>
      <c r="L231" s="18">
        <v>100</v>
      </c>
      <c r="M231" s="18" t="s">
        <v>9</v>
      </c>
      <c r="N231" s="20" t="s">
        <v>8</v>
      </c>
    </row>
    <row r="232" spans="1:14" x14ac:dyDescent="0.3">
      <c r="A232" s="17">
        <v>13</v>
      </c>
      <c r="B232" s="18"/>
      <c r="C232" s="19">
        <v>79</v>
      </c>
      <c r="D232" s="5">
        <v>40</v>
      </c>
      <c r="E232" s="16" t="s">
        <v>10</v>
      </c>
      <c r="I232" s="17">
        <v>24</v>
      </c>
      <c r="J232" s="18"/>
      <c r="K232" s="24">
        <v>786</v>
      </c>
      <c r="L232" s="18">
        <v>100</v>
      </c>
      <c r="M232" s="18" t="s">
        <v>9</v>
      </c>
      <c r="N232" s="20" t="s">
        <v>8</v>
      </c>
    </row>
    <row r="233" spans="1:14" x14ac:dyDescent="0.3">
      <c r="A233" s="17">
        <v>13</v>
      </c>
      <c r="B233" s="18"/>
      <c r="C233" s="19">
        <v>97</v>
      </c>
      <c r="D233" s="5">
        <v>40</v>
      </c>
      <c r="E233" s="16" t="s">
        <v>10</v>
      </c>
      <c r="I233" s="17">
        <v>24</v>
      </c>
      <c r="J233" s="18"/>
      <c r="K233" s="24">
        <v>598</v>
      </c>
      <c r="L233" s="18">
        <v>100</v>
      </c>
      <c r="M233" s="18" t="s">
        <v>9</v>
      </c>
      <c r="N233" s="20" t="s">
        <v>8</v>
      </c>
    </row>
    <row r="234" spans="1:14" x14ac:dyDescent="0.3">
      <c r="A234" s="17">
        <v>13</v>
      </c>
      <c r="B234" s="18"/>
      <c r="C234" s="19">
        <v>89</v>
      </c>
      <c r="D234" s="5">
        <v>40</v>
      </c>
      <c r="E234" s="16" t="s">
        <v>10</v>
      </c>
      <c r="I234" s="17">
        <v>24</v>
      </c>
      <c r="J234" s="18"/>
      <c r="K234" s="24">
        <v>758</v>
      </c>
      <c r="L234" s="18">
        <v>100</v>
      </c>
      <c r="M234" s="18" t="s">
        <v>9</v>
      </c>
      <c r="N234" s="20" t="s">
        <v>8</v>
      </c>
    </row>
    <row r="235" spans="1:14" x14ac:dyDescent="0.3">
      <c r="A235" s="17">
        <v>13</v>
      </c>
      <c r="B235" s="18"/>
      <c r="C235" s="19">
        <v>98</v>
      </c>
      <c r="D235" s="5">
        <v>40</v>
      </c>
      <c r="E235" s="16" t="s">
        <v>10</v>
      </c>
      <c r="I235" s="17">
        <v>24</v>
      </c>
      <c r="J235" s="18"/>
      <c r="K235" s="24">
        <v>968</v>
      </c>
      <c r="L235" s="18">
        <v>100</v>
      </c>
      <c r="M235" s="18" t="s">
        <v>9</v>
      </c>
      <c r="N235" s="20" t="s">
        <v>8</v>
      </c>
    </row>
    <row r="236" spans="1:14" x14ac:dyDescent="0.3">
      <c r="A236" s="17">
        <v>13</v>
      </c>
      <c r="B236" s="18"/>
      <c r="C236" s="19">
        <v>19</v>
      </c>
      <c r="D236" s="5">
        <v>40</v>
      </c>
      <c r="E236" s="16" t="s">
        <v>10</v>
      </c>
      <c r="I236" s="17">
        <v>24</v>
      </c>
      <c r="J236" s="18"/>
      <c r="K236" s="24">
        <v>584</v>
      </c>
      <c r="L236" s="18">
        <v>100</v>
      </c>
      <c r="M236" s="18" t="s">
        <v>9</v>
      </c>
      <c r="N236" s="20" t="s">
        <v>8</v>
      </c>
    </row>
    <row r="237" spans="1:14" x14ac:dyDescent="0.3">
      <c r="A237" s="17">
        <v>13</v>
      </c>
      <c r="B237" s="18"/>
      <c r="C237" s="19">
        <v>91</v>
      </c>
      <c r="D237" s="5">
        <v>40</v>
      </c>
      <c r="E237" s="16" t="s">
        <v>10</v>
      </c>
      <c r="I237" s="17">
        <v>24</v>
      </c>
      <c r="J237" s="18"/>
      <c r="K237" s="24">
        <v>638</v>
      </c>
      <c r="L237" s="18">
        <v>100</v>
      </c>
      <c r="M237" s="18" t="s">
        <v>9</v>
      </c>
      <c r="N237" s="20" t="s">
        <v>8</v>
      </c>
    </row>
    <row r="238" spans="1:14" x14ac:dyDescent="0.3">
      <c r="A238" s="17">
        <v>14</v>
      </c>
      <c r="B238" s="18"/>
      <c r="C238" s="19">
        <v>53</v>
      </c>
      <c r="D238" s="18">
        <v>200</v>
      </c>
      <c r="E238" s="20" t="s">
        <v>9</v>
      </c>
      <c r="I238" s="17">
        <v>24</v>
      </c>
      <c r="J238" s="18"/>
      <c r="K238" s="24">
        <v>937</v>
      </c>
      <c r="L238" s="18">
        <v>50</v>
      </c>
      <c r="M238" s="18" t="s">
        <v>9</v>
      </c>
      <c r="N238" s="20" t="s">
        <v>8</v>
      </c>
    </row>
    <row r="239" spans="1:14" x14ac:dyDescent="0.3">
      <c r="A239" s="17">
        <v>14</v>
      </c>
      <c r="B239" s="18"/>
      <c r="C239" s="19">
        <v>35</v>
      </c>
      <c r="D239" s="18">
        <v>200</v>
      </c>
      <c r="E239" s="20" t="s">
        <v>9</v>
      </c>
      <c r="I239" s="17">
        <v>24</v>
      </c>
      <c r="J239" s="18"/>
      <c r="K239" s="24">
        <v>651</v>
      </c>
      <c r="L239" s="18">
        <v>50</v>
      </c>
      <c r="M239" s="18" t="s">
        <v>9</v>
      </c>
      <c r="N239" s="20" t="s">
        <v>8</v>
      </c>
    </row>
    <row r="240" spans="1:14" x14ac:dyDescent="0.3">
      <c r="A240" s="17">
        <v>14</v>
      </c>
      <c r="B240" s="18"/>
      <c r="C240" s="19">
        <v>43</v>
      </c>
      <c r="D240" s="18">
        <v>200</v>
      </c>
      <c r="E240" s="20" t="s">
        <v>9</v>
      </c>
      <c r="I240" s="17">
        <v>24</v>
      </c>
      <c r="J240" s="18"/>
      <c r="K240" s="24">
        <v>951</v>
      </c>
      <c r="L240" s="18">
        <v>50</v>
      </c>
      <c r="M240" s="18" t="s">
        <v>9</v>
      </c>
      <c r="N240" s="20" t="s">
        <v>8</v>
      </c>
    </row>
    <row r="241" spans="1:14" x14ac:dyDescent="0.3">
      <c r="A241" s="17">
        <v>14</v>
      </c>
      <c r="B241" s="18"/>
      <c r="C241" s="19">
        <v>34</v>
      </c>
      <c r="D241" s="18">
        <v>200</v>
      </c>
      <c r="E241" s="20" t="s">
        <v>9</v>
      </c>
      <c r="I241" s="17">
        <v>24</v>
      </c>
      <c r="J241" s="18"/>
      <c r="K241" s="24">
        <v>900</v>
      </c>
      <c r="L241" s="18">
        <v>50</v>
      </c>
      <c r="M241" s="18" t="s">
        <v>9</v>
      </c>
      <c r="N241" s="20" t="s">
        <v>8</v>
      </c>
    </row>
    <row r="242" spans="1:14" x14ac:dyDescent="0.3">
      <c r="A242" s="17">
        <v>14</v>
      </c>
      <c r="B242" s="18"/>
      <c r="C242" s="19">
        <v>19</v>
      </c>
      <c r="D242" s="18">
        <v>200</v>
      </c>
      <c r="E242" s="20" t="s">
        <v>9</v>
      </c>
      <c r="I242" s="17">
        <v>24</v>
      </c>
      <c r="J242" s="18"/>
      <c r="K242" s="24">
        <v>90</v>
      </c>
      <c r="L242" s="18">
        <v>50</v>
      </c>
      <c r="M242" s="18" t="s">
        <v>9</v>
      </c>
      <c r="N242" s="20" t="s">
        <v>8</v>
      </c>
    </row>
    <row r="243" spans="1:14" x14ac:dyDescent="0.3">
      <c r="A243" s="17">
        <v>14</v>
      </c>
      <c r="B243" s="18"/>
      <c r="C243" s="19">
        <v>91</v>
      </c>
      <c r="D243" s="18">
        <v>200</v>
      </c>
      <c r="E243" s="20" t="s">
        <v>9</v>
      </c>
      <c r="I243" s="17">
        <v>24</v>
      </c>
      <c r="J243" s="18"/>
      <c r="K243" s="8">
        <v>935</v>
      </c>
      <c r="L243" s="5">
        <v>100</v>
      </c>
      <c r="M243" s="18" t="s">
        <v>9</v>
      </c>
      <c r="N243" s="16" t="s">
        <v>12</v>
      </c>
    </row>
    <row r="244" spans="1:14" x14ac:dyDescent="0.3">
      <c r="A244" s="17">
        <v>14</v>
      </c>
      <c r="B244" s="18"/>
      <c r="C244" s="19">
        <v>45</v>
      </c>
      <c r="D244" s="18">
        <v>200</v>
      </c>
      <c r="E244" s="20" t="s">
        <v>9</v>
      </c>
      <c r="I244" s="17">
        <v>24</v>
      </c>
      <c r="J244" s="18"/>
      <c r="K244" s="8">
        <v>538</v>
      </c>
      <c r="L244" s="5">
        <v>200</v>
      </c>
      <c r="M244" s="18" t="s">
        <v>9</v>
      </c>
      <c r="N244" s="16" t="s">
        <v>12</v>
      </c>
    </row>
    <row r="245" spans="1:14" x14ac:dyDescent="0.3">
      <c r="A245" s="17">
        <v>14</v>
      </c>
      <c r="B245" s="18"/>
      <c r="C245" s="19">
        <v>54</v>
      </c>
      <c r="D245" s="18">
        <v>200</v>
      </c>
      <c r="E245" s="20" t="s">
        <v>9</v>
      </c>
      <c r="I245" s="17">
        <v>24</v>
      </c>
      <c r="J245" s="18"/>
      <c r="K245" s="8">
        <v>357</v>
      </c>
      <c r="L245" s="5">
        <v>200</v>
      </c>
      <c r="M245" s="18" t="s">
        <v>9</v>
      </c>
      <c r="N245" s="16" t="s">
        <v>12</v>
      </c>
    </row>
    <row r="246" spans="1:14" x14ac:dyDescent="0.3">
      <c r="A246" s="17">
        <v>14</v>
      </c>
      <c r="B246" s="18"/>
      <c r="C246" s="19">
        <v>72</v>
      </c>
      <c r="D246" s="18">
        <v>200</v>
      </c>
      <c r="E246" s="20" t="s">
        <v>10</v>
      </c>
      <c r="I246" s="17">
        <v>24</v>
      </c>
      <c r="J246" s="18"/>
      <c r="K246" s="8">
        <v>958</v>
      </c>
      <c r="L246" s="5">
        <v>200</v>
      </c>
      <c r="M246" s="18" t="s">
        <v>9</v>
      </c>
      <c r="N246" s="16" t="s">
        <v>12</v>
      </c>
    </row>
    <row r="247" spans="1:14" x14ac:dyDescent="0.3">
      <c r="A247" s="17">
        <v>14</v>
      </c>
      <c r="B247" s="18"/>
      <c r="C247" s="19">
        <v>32</v>
      </c>
      <c r="D247" s="18">
        <v>200</v>
      </c>
      <c r="E247" s="20" t="s">
        <v>10</v>
      </c>
      <c r="I247" s="17">
        <v>24</v>
      </c>
      <c r="J247" s="18"/>
      <c r="K247" s="8">
        <v>985</v>
      </c>
      <c r="L247" s="5">
        <v>200</v>
      </c>
      <c r="M247" s="18" t="s">
        <v>9</v>
      </c>
      <c r="N247" s="16" t="s">
        <v>12</v>
      </c>
    </row>
    <row r="248" spans="1:14" x14ac:dyDescent="0.3">
      <c r="A248" s="17">
        <v>14</v>
      </c>
      <c r="B248" s="18"/>
      <c r="C248" s="19">
        <v>19</v>
      </c>
      <c r="D248" s="18">
        <v>200</v>
      </c>
      <c r="E248" s="20" t="s">
        <v>10</v>
      </c>
      <c r="I248" s="17">
        <v>24</v>
      </c>
      <c r="J248" s="18"/>
      <c r="K248" s="8">
        <v>957</v>
      </c>
      <c r="L248" s="5">
        <v>100</v>
      </c>
      <c r="M248" s="18" t="s">
        <v>9</v>
      </c>
      <c r="N248" s="16" t="s">
        <v>12</v>
      </c>
    </row>
    <row r="249" spans="1:14" x14ac:dyDescent="0.3">
      <c r="A249" s="17">
        <v>14</v>
      </c>
      <c r="B249" s="18"/>
      <c r="C249" s="19">
        <v>91</v>
      </c>
      <c r="D249" s="18">
        <v>200</v>
      </c>
      <c r="E249" s="20" t="s">
        <v>10</v>
      </c>
      <c r="I249" s="17">
        <v>24</v>
      </c>
      <c r="J249" s="18"/>
      <c r="K249" s="8">
        <v>478</v>
      </c>
      <c r="L249" s="5">
        <v>100</v>
      </c>
      <c r="M249" s="18" t="s">
        <v>9</v>
      </c>
      <c r="N249" s="16" t="s">
        <v>12</v>
      </c>
    </row>
    <row r="250" spans="1:14" x14ac:dyDescent="0.3">
      <c r="A250" s="17">
        <v>14</v>
      </c>
      <c r="B250" s="18"/>
      <c r="C250" s="19">
        <v>45</v>
      </c>
      <c r="D250" s="18">
        <v>200</v>
      </c>
      <c r="E250" s="20" t="s">
        <v>10</v>
      </c>
      <c r="I250" s="17">
        <v>24</v>
      </c>
      <c r="J250" s="18"/>
      <c r="K250" s="8">
        <v>678</v>
      </c>
      <c r="L250" s="5">
        <v>100</v>
      </c>
      <c r="M250" s="18" t="s">
        <v>9</v>
      </c>
      <c r="N250" s="16" t="s">
        <v>12</v>
      </c>
    </row>
    <row r="251" spans="1:14" x14ac:dyDescent="0.3">
      <c r="A251" s="17">
        <v>14</v>
      </c>
      <c r="B251" s="18"/>
      <c r="C251" s="19">
        <v>54</v>
      </c>
      <c r="D251" s="18">
        <v>200</v>
      </c>
      <c r="E251" s="20" t="s">
        <v>10</v>
      </c>
      <c r="I251" s="17">
        <v>24</v>
      </c>
      <c r="J251" s="18"/>
      <c r="K251" s="8">
        <v>768</v>
      </c>
      <c r="L251" s="5">
        <v>100</v>
      </c>
      <c r="M251" s="18" t="s">
        <v>9</v>
      </c>
      <c r="N251" s="16" t="s">
        <v>12</v>
      </c>
    </row>
    <row r="252" spans="1:14" x14ac:dyDescent="0.3">
      <c r="A252" s="17">
        <v>14</v>
      </c>
      <c r="B252" s="18"/>
      <c r="C252" s="19">
        <v>34</v>
      </c>
      <c r="D252" s="18">
        <v>200</v>
      </c>
      <c r="E252" s="20" t="s">
        <v>10</v>
      </c>
      <c r="I252" s="17">
        <v>24</v>
      </c>
      <c r="J252" s="18"/>
      <c r="K252" s="8">
        <v>786</v>
      </c>
      <c r="L252" s="5">
        <v>0</v>
      </c>
      <c r="M252" s="18" t="s">
        <v>9</v>
      </c>
      <c r="N252" s="16" t="s">
        <v>12</v>
      </c>
    </row>
    <row r="253" spans="1:14" x14ac:dyDescent="0.3">
      <c r="A253" s="17">
        <v>14</v>
      </c>
      <c r="B253" s="18"/>
      <c r="C253" s="19">
        <v>43</v>
      </c>
      <c r="D253" s="18">
        <v>200</v>
      </c>
      <c r="E253" s="20" t="s">
        <v>10</v>
      </c>
      <c r="I253" s="17">
        <v>24</v>
      </c>
      <c r="J253" s="18"/>
      <c r="K253" s="8">
        <v>598</v>
      </c>
      <c r="L253" s="5">
        <v>100</v>
      </c>
      <c r="M253" s="18" t="s">
        <v>9</v>
      </c>
      <c r="N253" s="16" t="s">
        <v>12</v>
      </c>
    </row>
    <row r="254" spans="1:14" x14ac:dyDescent="0.3">
      <c r="A254" s="17">
        <v>14</v>
      </c>
      <c r="B254" s="18"/>
      <c r="C254" s="19">
        <v>35</v>
      </c>
      <c r="D254" s="18">
        <v>200</v>
      </c>
      <c r="E254" s="20" t="s">
        <v>10</v>
      </c>
      <c r="I254" s="17">
        <v>24</v>
      </c>
      <c r="J254" s="18"/>
      <c r="K254" s="8">
        <v>758</v>
      </c>
      <c r="L254" s="5">
        <v>100</v>
      </c>
      <c r="M254" s="18" t="s">
        <v>9</v>
      </c>
      <c r="N254" s="16" t="s">
        <v>12</v>
      </c>
    </row>
    <row r="255" spans="1:14" x14ac:dyDescent="0.3">
      <c r="A255" s="17">
        <v>14</v>
      </c>
      <c r="B255" s="18"/>
      <c r="C255" s="19">
        <v>53</v>
      </c>
      <c r="D255" s="18">
        <v>200</v>
      </c>
      <c r="E255" s="20" t="s">
        <v>10</v>
      </c>
      <c r="I255" s="17">
        <v>24</v>
      </c>
      <c r="J255" s="18"/>
      <c r="K255" s="8">
        <v>968</v>
      </c>
      <c r="L255" s="5">
        <v>100</v>
      </c>
      <c r="M255" s="18" t="s">
        <v>9</v>
      </c>
      <c r="N255" s="16" t="s">
        <v>12</v>
      </c>
    </row>
    <row r="256" spans="1:14" x14ac:dyDescent="0.3">
      <c r="A256" s="17">
        <v>7</v>
      </c>
      <c r="B256" s="18"/>
      <c r="C256" s="19">
        <v>51</v>
      </c>
      <c r="D256" s="18">
        <v>60</v>
      </c>
      <c r="E256" s="20" t="s">
        <v>9</v>
      </c>
      <c r="I256" s="17">
        <v>24</v>
      </c>
      <c r="J256" s="18"/>
      <c r="K256" s="8">
        <v>584</v>
      </c>
      <c r="L256" s="5">
        <v>100</v>
      </c>
      <c r="M256" s="18" t="s">
        <v>9</v>
      </c>
      <c r="N256" s="16" t="s">
        <v>12</v>
      </c>
    </row>
    <row r="257" spans="1:14" x14ac:dyDescent="0.3">
      <c r="A257" s="17">
        <v>7</v>
      </c>
      <c r="B257" s="18"/>
      <c r="C257" s="19">
        <v>38</v>
      </c>
      <c r="D257" s="18">
        <v>60</v>
      </c>
      <c r="E257" s="20" t="s">
        <v>9</v>
      </c>
      <c r="I257" s="17">
        <v>24</v>
      </c>
      <c r="J257" s="18"/>
      <c r="K257" s="8">
        <v>638</v>
      </c>
      <c r="L257" s="5">
        <v>50</v>
      </c>
      <c r="M257" s="18" t="s">
        <v>9</v>
      </c>
      <c r="N257" s="16" t="s">
        <v>12</v>
      </c>
    </row>
    <row r="258" spans="1:14" x14ac:dyDescent="0.3">
      <c r="A258" s="17">
        <v>7</v>
      </c>
      <c r="B258" s="18"/>
      <c r="C258" s="19">
        <v>81</v>
      </c>
      <c r="D258" s="18">
        <v>60</v>
      </c>
      <c r="E258" s="20" t="s">
        <v>9</v>
      </c>
      <c r="I258" s="17">
        <v>24</v>
      </c>
      <c r="J258" s="18"/>
      <c r="K258" s="8">
        <v>937</v>
      </c>
      <c r="L258" s="5">
        <v>50</v>
      </c>
      <c r="M258" s="18" t="s">
        <v>9</v>
      </c>
      <c r="N258" s="16" t="s">
        <v>12</v>
      </c>
    </row>
    <row r="259" spans="1:14" x14ac:dyDescent="0.3">
      <c r="A259" s="17">
        <v>7</v>
      </c>
      <c r="B259" s="18"/>
      <c r="C259" s="19">
        <v>73</v>
      </c>
      <c r="D259" s="18">
        <v>60</v>
      </c>
      <c r="E259" s="20" t="s">
        <v>9</v>
      </c>
      <c r="I259" s="17">
        <v>24</v>
      </c>
      <c r="J259" s="18"/>
      <c r="K259" s="8">
        <v>651</v>
      </c>
      <c r="L259" s="5">
        <v>50</v>
      </c>
      <c r="M259" s="18" t="s">
        <v>9</v>
      </c>
      <c r="N259" s="16" t="s">
        <v>12</v>
      </c>
    </row>
    <row r="260" spans="1:14" x14ac:dyDescent="0.3">
      <c r="A260" s="17">
        <v>7</v>
      </c>
      <c r="B260" s="18"/>
      <c r="C260" s="9">
        <v>51</v>
      </c>
      <c r="D260" s="18">
        <v>60</v>
      </c>
      <c r="E260" s="16" t="s">
        <v>10</v>
      </c>
      <c r="I260" s="17">
        <v>24</v>
      </c>
      <c r="J260" s="18"/>
      <c r="K260" s="8">
        <v>951</v>
      </c>
      <c r="L260" s="5">
        <v>50</v>
      </c>
      <c r="M260" s="18" t="s">
        <v>9</v>
      </c>
      <c r="N260" s="16" t="s">
        <v>12</v>
      </c>
    </row>
    <row r="261" spans="1:14" x14ac:dyDescent="0.3">
      <c r="A261" s="17">
        <v>7</v>
      </c>
      <c r="B261" s="18"/>
      <c r="C261" s="9">
        <v>38</v>
      </c>
      <c r="D261" s="18">
        <v>60</v>
      </c>
      <c r="E261" s="16" t="s">
        <v>10</v>
      </c>
      <c r="I261" s="17">
        <v>24</v>
      </c>
      <c r="J261" s="18"/>
      <c r="K261" s="8">
        <v>900</v>
      </c>
      <c r="L261" s="5">
        <v>50</v>
      </c>
      <c r="M261" s="5" t="s">
        <v>10</v>
      </c>
      <c r="N261" s="16" t="s">
        <v>8</v>
      </c>
    </row>
    <row r="262" spans="1:14" x14ac:dyDescent="0.3">
      <c r="A262" s="17">
        <v>7</v>
      </c>
      <c r="B262" s="18"/>
      <c r="C262" s="9">
        <v>81</v>
      </c>
      <c r="D262" s="18">
        <v>60</v>
      </c>
      <c r="E262" s="16" t="s">
        <v>10</v>
      </c>
      <c r="I262" s="17">
        <v>24</v>
      </c>
      <c r="J262" s="18"/>
      <c r="K262" s="24">
        <v>90</v>
      </c>
      <c r="L262" s="5">
        <v>50</v>
      </c>
      <c r="M262" s="5" t="s">
        <v>10</v>
      </c>
      <c r="N262" s="16" t="s">
        <v>8</v>
      </c>
    </row>
    <row r="263" spans="1:14" x14ac:dyDescent="0.3">
      <c r="A263" s="17">
        <v>7</v>
      </c>
      <c r="B263" s="18"/>
      <c r="C263" s="19">
        <v>73</v>
      </c>
      <c r="D263" s="18">
        <v>60</v>
      </c>
      <c r="E263" s="16" t="s">
        <v>10</v>
      </c>
      <c r="I263" s="17">
        <v>24</v>
      </c>
      <c r="J263" s="18"/>
      <c r="K263" s="24">
        <v>9</v>
      </c>
      <c r="L263" s="5">
        <v>50</v>
      </c>
      <c r="M263" s="5" t="s">
        <v>10</v>
      </c>
      <c r="N263" s="16" t="s">
        <v>8</v>
      </c>
    </row>
    <row r="264" spans="1:14" x14ac:dyDescent="0.3">
      <c r="A264" s="17">
        <v>15</v>
      </c>
      <c r="B264" s="18"/>
      <c r="C264" s="19">
        <v>78</v>
      </c>
      <c r="D264" s="18">
        <v>200</v>
      </c>
      <c r="E264" s="20" t="s">
        <v>9</v>
      </c>
      <c r="I264" s="17">
        <v>26</v>
      </c>
      <c r="J264" s="18"/>
      <c r="K264" s="24">
        <v>289</v>
      </c>
      <c r="L264" s="18">
        <v>20</v>
      </c>
      <c r="M264" s="18" t="s">
        <v>9</v>
      </c>
      <c r="N264" s="20" t="s">
        <v>8</v>
      </c>
    </row>
    <row r="265" spans="1:14" x14ac:dyDescent="0.3">
      <c r="A265" s="17">
        <v>15</v>
      </c>
      <c r="B265" s="18"/>
      <c r="C265" s="19">
        <v>87</v>
      </c>
      <c r="D265" s="18">
        <v>200</v>
      </c>
      <c r="E265" s="20" t="s">
        <v>9</v>
      </c>
      <c r="I265" s="17">
        <v>26</v>
      </c>
      <c r="J265" s="18"/>
      <c r="K265" s="24">
        <v>289</v>
      </c>
      <c r="L265" s="18">
        <v>20</v>
      </c>
      <c r="M265" s="18" t="s">
        <v>10</v>
      </c>
      <c r="N265" s="20" t="s">
        <v>8</v>
      </c>
    </row>
    <row r="266" spans="1:14" x14ac:dyDescent="0.3">
      <c r="A266" s="17">
        <v>15</v>
      </c>
      <c r="B266" s="18"/>
      <c r="C266" s="19">
        <v>58</v>
      </c>
      <c r="D266" s="18">
        <v>200</v>
      </c>
      <c r="E266" s="20" t="s">
        <v>9</v>
      </c>
      <c r="I266" s="15">
        <v>27</v>
      </c>
      <c r="J266" s="5"/>
      <c r="K266" s="8">
        <v>587</v>
      </c>
      <c r="L266" s="5">
        <v>200</v>
      </c>
      <c r="M266" s="5" t="s">
        <v>9</v>
      </c>
      <c r="N266" s="20" t="s">
        <v>8</v>
      </c>
    </row>
    <row r="267" spans="1:14" x14ac:dyDescent="0.3">
      <c r="A267" s="17">
        <v>15</v>
      </c>
      <c r="B267" s="18"/>
      <c r="C267" s="19">
        <v>85</v>
      </c>
      <c r="D267" s="18">
        <v>200</v>
      </c>
      <c r="E267" s="20" t="s">
        <v>9</v>
      </c>
      <c r="I267" s="15">
        <v>27</v>
      </c>
      <c r="J267" s="5"/>
      <c r="K267" s="24">
        <v>578</v>
      </c>
      <c r="L267" s="18">
        <v>50</v>
      </c>
      <c r="M267" s="5" t="s">
        <v>9</v>
      </c>
      <c r="N267" s="20" t="s">
        <v>8</v>
      </c>
    </row>
    <row r="268" spans="1:14" x14ac:dyDescent="0.3">
      <c r="A268" s="17">
        <v>15</v>
      </c>
      <c r="B268" s="18"/>
      <c r="C268" s="19">
        <v>97</v>
      </c>
      <c r="D268" s="18">
        <v>100</v>
      </c>
      <c r="E268" s="20" t="s">
        <v>9</v>
      </c>
      <c r="I268" s="15">
        <v>27</v>
      </c>
      <c r="J268" s="5"/>
      <c r="K268" s="24">
        <v>257</v>
      </c>
      <c r="L268" s="18">
        <v>100</v>
      </c>
      <c r="M268" s="5" t="s">
        <v>9</v>
      </c>
      <c r="N268" s="20" t="s">
        <v>8</v>
      </c>
    </row>
    <row r="269" spans="1:14" x14ac:dyDescent="0.3">
      <c r="A269" s="17">
        <v>15</v>
      </c>
      <c r="B269" s="18"/>
      <c r="C269" s="19">
        <v>79</v>
      </c>
      <c r="D269" s="18">
        <v>100</v>
      </c>
      <c r="E269" s="20" t="s">
        <v>9</v>
      </c>
      <c r="I269" s="15">
        <v>27</v>
      </c>
      <c r="J269" s="5"/>
      <c r="K269" s="24">
        <v>595</v>
      </c>
      <c r="L269" s="18">
        <v>50</v>
      </c>
      <c r="M269" s="5" t="s">
        <v>9</v>
      </c>
      <c r="N269" s="20" t="s">
        <v>8</v>
      </c>
    </row>
    <row r="270" spans="1:14" x14ac:dyDescent="0.3">
      <c r="A270" s="17">
        <v>15</v>
      </c>
      <c r="B270" s="18"/>
      <c r="C270" s="19">
        <v>25</v>
      </c>
      <c r="D270" s="18">
        <v>250</v>
      </c>
      <c r="E270" s="20" t="s">
        <v>9</v>
      </c>
      <c r="I270" s="15">
        <v>27</v>
      </c>
      <c r="J270" s="5"/>
      <c r="K270" s="24">
        <v>569</v>
      </c>
      <c r="L270" s="18">
        <v>50</v>
      </c>
      <c r="M270" s="5" t="s">
        <v>9</v>
      </c>
      <c r="N270" s="20" t="s">
        <v>8</v>
      </c>
    </row>
    <row r="271" spans="1:14" x14ac:dyDescent="0.3">
      <c r="A271" s="17">
        <v>15</v>
      </c>
      <c r="B271" s="18"/>
      <c r="C271" s="19">
        <v>52</v>
      </c>
      <c r="D271" s="18">
        <v>70</v>
      </c>
      <c r="E271" s="20" t="s">
        <v>9</v>
      </c>
      <c r="I271" s="15">
        <v>27</v>
      </c>
      <c r="J271" s="5"/>
      <c r="K271" s="8">
        <v>578</v>
      </c>
      <c r="L271" s="5">
        <v>50</v>
      </c>
      <c r="M271" s="5" t="s">
        <v>9</v>
      </c>
      <c r="N271" s="16" t="s">
        <v>12</v>
      </c>
    </row>
    <row r="272" spans="1:14" x14ac:dyDescent="0.3">
      <c r="A272" s="17">
        <v>15</v>
      </c>
      <c r="B272" s="18"/>
      <c r="C272" s="19">
        <v>59</v>
      </c>
      <c r="D272" s="18">
        <v>60</v>
      </c>
      <c r="E272" s="20" t="s">
        <v>9</v>
      </c>
      <c r="I272" s="15">
        <v>27</v>
      </c>
      <c r="J272" s="5"/>
      <c r="K272" s="8">
        <v>257</v>
      </c>
      <c r="L272" s="5">
        <v>100</v>
      </c>
      <c r="M272" s="5" t="s">
        <v>9</v>
      </c>
      <c r="N272" s="16" t="s">
        <v>12</v>
      </c>
    </row>
    <row r="273" spans="1:14" x14ac:dyDescent="0.3">
      <c r="A273" s="17">
        <v>15</v>
      </c>
      <c r="B273" s="18"/>
      <c r="C273" s="19">
        <v>58</v>
      </c>
      <c r="D273" s="18">
        <v>200</v>
      </c>
      <c r="E273" s="20" t="s">
        <v>10</v>
      </c>
      <c r="I273" s="15">
        <v>27</v>
      </c>
      <c r="J273" s="5"/>
      <c r="K273" s="24">
        <v>595</v>
      </c>
      <c r="L273" s="18">
        <v>50</v>
      </c>
      <c r="M273" s="5" t="s">
        <v>9</v>
      </c>
      <c r="N273" s="16" t="s">
        <v>12</v>
      </c>
    </row>
    <row r="274" spans="1:14" x14ac:dyDescent="0.3">
      <c r="A274" s="17">
        <v>15</v>
      </c>
      <c r="B274" s="18"/>
      <c r="C274" s="19">
        <v>85</v>
      </c>
      <c r="D274" s="18">
        <v>200</v>
      </c>
      <c r="E274" s="20" t="s">
        <v>10</v>
      </c>
      <c r="I274" s="17">
        <v>29</v>
      </c>
      <c r="J274" s="18"/>
      <c r="K274" s="24">
        <v>15</v>
      </c>
      <c r="L274" s="18">
        <v>50</v>
      </c>
      <c r="M274" s="18" t="s">
        <v>9</v>
      </c>
      <c r="N274" s="20" t="s">
        <v>8</v>
      </c>
    </row>
    <row r="275" spans="1:14" x14ac:dyDescent="0.3">
      <c r="A275" s="17">
        <v>15</v>
      </c>
      <c r="B275" s="18"/>
      <c r="C275" s="19">
        <v>56</v>
      </c>
      <c r="D275" s="18">
        <v>200</v>
      </c>
      <c r="E275" s="20" t="s">
        <v>10</v>
      </c>
      <c r="I275" s="17">
        <v>29</v>
      </c>
      <c r="J275" s="18"/>
      <c r="K275" s="24">
        <v>147</v>
      </c>
      <c r="L275" s="18">
        <v>50</v>
      </c>
      <c r="M275" s="18" t="s">
        <v>9</v>
      </c>
      <c r="N275" s="20" t="s">
        <v>8</v>
      </c>
    </row>
    <row r="276" spans="1:14" x14ac:dyDescent="0.3">
      <c r="A276" s="17">
        <v>15</v>
      </c>
      <c r="B276" s="18"/>
      <c r="C276" s="19">
        <v>25</v>
      </c>
      <c r="D276" s="18">
        <v>100</v>
      </c>
      <c r="E276" s="20" t="s">
        <v>10</v>
      </c>
      <c r="I276" s="17">
        <v>29</v>
      </c>
      <c r="J276" s="18"/>
      <c r="K276" s="24">
        <v>479</v>
      </c>
      <c r="L276" s="18">
        <v>100</v>
      </c>
      <c r="M276" s="18" t="s">
        <v>9</v>
      </c>
      <c r="N276" s="20" t="s">
        <v>8</v>
      </c>
    </row>
    <row r="277" spans="1:14" x14ac:dyDescent="0.3">
      <c r="A277" s="17">
        <v>15</v>
      </c>
      <c r="B277" s="18"/>
      <c r="C277" s="19">
        <v>97</v>
      </c>
      <c r="D277" s="18">
        <v>100</v>
      </c>
      <c r="E277" s="20" t="s">
        <v>10</v>
      </c>
      <c r="I277" s="17">
        <v>29</v>
      </c>
      <c r="J277" s="18"/>
      <c r="K277" s="24">
        <v>725</v>
      </c>
      <c r="L277" s="18">
        <v>50</v>
      </c>
      <c r="M277" s="18" t="s">
        <v>9</v>
      </c>
      <c r="N277" s="20" t="s">
        <v>8</v>
      </c>
    </row>
    <row r="278" spans="1:14" x14ac:dyDescent="0.3">
      <c r="A278" s="17">
        <v>15</v>
      </c>
      <c r="B278" s="18"/>
      <c r="C278" s="19">
        <v>79</v>
      </c>
      <c r="D278" s="18">
        <v>100</v>
      </c>
      <c r="E278" s="20" t="s">
        <v>10</v>
      </c>
      <c r="I278" s="17">
        <v>29</v>
      </c>
      <c r="J278" s="18"/>
      <c r="K278" s="8">
        <v>15</v>
      </c>
      <c r="L278" s="18">
        <v>50</v>
      </c>
      <c r="M278" s="18" t="s">
        <v>9</v>
      </c>
      <c r="N278" s="16" t="s">
        <v>12</v>
      </c>
    </row>
    <row r="279" spans="1:14" x14ac:dyDescent="0.3">
      <c r="A279" s="17">
        <v>15</v>
      </c>
      <c r="B279" s="18"/>
      <c r="C279" s="19">
        <v>25</v>
      </c>
      <c r="D279" s="18">
        <v>250</v>
      </c>
      <c r="E279" s="20" t="s">
        <v>10</v>
      </c>
      <c r="I279" s="17">
        <v>29</v>
      </c>
      <c r="J279" s="18"/>
      <c r="K279" s="8">
        <v>147</v>
      </c>
      <c r="L279" s="18">
        <v>50</v>
      </c>
      <c r="M279" s="18" t="s">
        <v>9</v>
      </c>
      <c r="N279" s="16" t="s">
        <v>12</v>
      </c>
    </row>
    <row r="280" spans="1:14" x14ac:dyDescent="0.3">
      <c r="A280" s="17">
        <v>15</v>
      </c>
      <c r="B280" s="18"/>
      <c r="C280" s="19">
        <v>52</v>
      </c>
      <c r="D280" s="18">
        <v>70</v>
      </c>
      <c r="E280" s="20" t="s">
        <v>10</v>
      </c>
      <c r="I280" s="17">
        <v>29</v>
      </c>
      <c r="J280" s="18"/>
      <c r="K280" s="8">
        <v>479</v>
      </c>
      <c r="L280" s="18">
        <v>100</v>
      </c>
      <c r="M280" s="18" t="s">
        <v>9</v>
      </c>
      <c r="N280" s="16" t="s">
        <v>12</v>
      </c>
    </row>
    <row r="281" spans="1:14" x14ac:dyDescent="0.3">
      <c r="A281" s="17">
        <v>15</v>
      </c>
      <c r="B281" s="18"/>
      <c r="C281" s="19">
        <v>59</v>
      </c>
      <c r="D281" s="18">
        <v>60</v>
      </c>
      <c r="E281" s="20" t="s">
        <v>10</v>
      </c>
      <c r="I281" s="17">
        <v>29</v>
      </c>
      <c r="J281" s="18"/>
      <c r="K281" s="24">
        <v>725</v>
      </c>
      <c r="L281" s="18">
        <v>50</v>
      </c>
      <c r="M281" s="18" t="s">
        <v>9</v>
      </c>
      <c r="N281" s="16" t="s">
        <v>12</v>
      </c>
    </row>
    <row r="282" spans="1:14" x14ac:dyDescent="0.3">
      <c r="A282" s="17">
        <v>16</v>
      </c>
      <c r="B282" s="18"/>
      <c r="C282" s="19">
        <v>59</v>
      </c>
      <c r="D282" s="18">
        <v>500</v>
      </c>
      <c r="E282" s="20" t="s">
        <v>9</v>
      </c>
      <c r="I282" s="17">
        <v>29</v>
      </c>
      <c r="J282" s="18"/>
      <c r="K282" s="24">
        <v>546</v>
      </c>
      <c r="L282" s="18">
        <v>50</v>
      </c>
      <c r="M282" s="18" t="s">
        <v>9</v>
      </c>
      <c r="N282" s="20" t="s">
        <v>8</v>
      </c>
    </row>
    <row r="283" spans="1:14" x14ac:dyDescent="0.3">
      <c r="A283" s="17">
        <v>16</v>
      </c>
      <c r="B283" s="18"/>
      <c r="C283" s="19">
        <v>95</v>
      </c>
      <c r="D283" s="18">
        <v>200</v>
      </c>
      <c r="E283" s="20" t="s">
        <v>9</v>
      </c>
      <c r="I283" s="17">
        <v>29</v>
      </c>
      <c r="J283" s="18"/>
      <c r="K283" s="24">
        <v>546</v>
      </c>
      <c r="L283" s="18">
        <v>100</v>
      </c>
      <c r="M283" s="18" t="s">
        <v>9</v>
      </c>
      <c r="N283" s="18" t="s">
        <v>12</v>
      </c>
    </row>
    <row r="284" spans="1:14" x14ac:dyDescent="0.3">
      <c r="A284" s="17">
        <v>16</v>
      </c>
      <c r="B284" s="18"/>
      <c r="C284" s="19">
        <v>58</v>
      </c>
      <c r="D284" s="18">
        <v>500</v>
      </c>
      <c r="E284" s="20" t="s">
        <v>9</v>
      </c>
      <c r="I284" s="17">
        <v>29</v>
      </c>
      <c r="J284" s="18"/>
      <c r="K284" s="24">
        <v>105</v>
      </c>
      <c r="L284" s="18">
        <v>200</v>
      </c>
      <c r="M284" s="18" t="s">
        <v>9</v>
      </c>
      <c r="N284" s="20" t="s">
        <v>8</v>
      </c>
    </row>
    <row r="285" spans="1:14" x14ac:dyDescent="0.3">
      <c r="A285" s="17">
        <v>16</v>
      </c>
      <c r="B285" s="18"/>
      <c r="C285" s="19">
        <v>85</v>
      </c>
      <c r="D285" s="18">
        <v>200</v>
      </c>
      <c r="E285" s="20" t="s">
        <v>9</v>
      </c>
      <c r="I285" s="17">
        <v>29</v>
      </c>
      <c r="J285" s="18"/>
      <c r="K285" s="24">
        <v>105</v>
      </c>
      <c r="L285" s="18">
        <v>100</v>
      </c>
      <c r="M285" s="18" t="s">
        <v>9</v>
      </c>
      <c r="N285" s="20" t="s">
        <v>12</v>
      </c>
    </row>
    <row r="286" spans="1:14" x14ac:dyDescent="0.3">
      <c r="A286" s="17">
        <v>16</v>
      </c>
      <c r="B286" s="18"/>
      <c r="C286" s="19">
        <v>5</v>
      </c>
      <c r="D286" s="18">
        <v>200</v>
      </c>
      <c r="E286" s="20" t="s">
        <v>9</v>
      </c>
      <c r="I286" s="17">
        <v>17</v>
      </c>
      <c r="J286" s="18"/>
      <c r="K286" s="24">
        <v>876</v>
      </c>
      <c r="L286" s="18">
        <v>100</v>
      </c>
      <c r="M286" s="18" t="s">
        <v>9</v>
      </c>
      <c r="N286" s="20" t="s">
        <v>12</v>
      </c>
    </row>
    <row r="287" spans="1:14" x14ac:dyDescent="0.3">
      <c r="A287" s="17">
        <v>16</v>
      </c>
      <c r="B287" s="18"/>
      <c r="C287" s="19">
        <v>78</v>
      </c>
      <c r="D287" s="18">
        <v>300</v>
      </c>
      <c r="E287" s="20" t="s">
        <v>9</v>
      </c>
      <c r="I287" s="17">
        <v>17</v>
      </c>
      <c r="J287" s="18"/>
      <c r="K287" s="8">
        <v>876</v>
      </c>
      <c r="L287" s="18">
        <v>100</v>
      </c>
      <c r="M287" s="18" t="s">
        <v>9</v>
      </c>
      <c r="N287" s="16" t="s">
        <v>8</v>
      </c>
    </row>
    <row r="288" spans="1:14" x14ac:dyDescent="0.3">
      <c r="A288" s="17">
        <v>16</v>
      </c>
      <c r="B288" s="18"/>
      <c r="C288" s="19">
        <v>75</v>
      </c>
      <c r="D288" s="18">
        <v>250</v>
      </c>
      <c r="E288" s="20" t="s">
        <v>9</v>
      </c>
      <c r="I288" s="17">
        <v>17</v>
      </c>
      <c r="J288" s="18"/>
      <c r="K288" s="24">
        <v>687</v>
      </c>
      <c r="L288" s="18">
        <v>20</v>
      </c>
      <c r="M288" s="18" t="s">
        <v>9</v>
      </c>
      <c r="N288" s="20" t="s">
        <v>12</v>
      </c>
    </row>
    <row r="289" spans="1:14" x14ac:dyDescent="0.3">
      <c r="A289" s="17">
        <v>16</v>
      </c>
      <c r="B289" s="18"/>
      <c r="C289" s="19">
        <v>87</v>
      </c>
      <c r="D289" s="18">
        <v>100</v>
      </c>
      <c r="E289" s="20" t="s">
        <v>9</v>
      </c>
      <c r="I289" s="17">
        <v>17</v>
      </c>
      <c r="J289" s="18"/>
      <c r="K289" s="24">
        <v>867</v>
      </c>
      <c r="L289" s="18">
        <v>20</v>
      </c>
      <c r="M289" s="18" t="s">
        <v>9</v>
      </c>
      <c r="N289" s="20" t="s">
        <v>12</v>
      </c>
    </row>
    <row r="290" spans="1:14" x14ac:dyDescent="0.3">
      <c r="A290" s="17">
        <v>16</v>
      </c>
      <c r="B290" s="18"/>
      <c r="C290" s="19">
        <v>17</v>
      </c>
      <c r="D290" s="18">
        <v>300</v>
      </c>
      <c r="E290" s="20" t="s">
        <v>9</v>
      </c>
      <c r="I290" s="17">
        <v>17</v>
      </c>
      <c r="J290" s="18"/>
      <c r="K290" s="24">
        <v>686</v>
      </c>
      <c r="L290" s="18">
        <v>20</v>
      </c>
      <c r="M290" s="18" t="s">
        <v>9</v>
      </c>
      <c r="N290" s="20" t="s">
        <v>12</v>
      </c>
    </row>
    <row r="291" spans="1:14" x14ac:dyDescent="0.3">
      <c r="A291" s="17">
        <v>16</v>
      </c>
      <c r="B291" s="18"/>
      <c r="C291" s="19">
        <v>25</v>
      </c>
      <c r="D291" s="18">
        <v>600</v>
      </c>
      <c r="E291" s="20" t="s">
        <v>9</v>
      </c>
      <c r="I291" s="17">
        <v>17</v>
      </c>
      <c r="J291" s="18"/>
      <c r="K291" s="24">
        <v>766</v>
      </c>
      <c r="L291" s="18">
        <v>20</v>
      </c>
      <c r="M291" s="18" t="s">
        <v>9</v>
      </c>
      <c r="N291" s="20" t="s">
        <v>12</v>
      </c>
    </row>
    <row r="292" spans="1:14" x14ac:dyDescent="0.3">
      <c r="A292" s="17">
        <v>16</v>
      </c>
      <c r="B292" s="18"/>
      <c r="C292" s="19">
        <v>29</v>
      </c>
      <c r="D292" s="18">
        <v>100</v>
      </c>
      <c r="E292" s="20" t="s">
        <v>9</v>
      </c>
      <c r="I292" s="17">
        <v>17</v>
      </c>
      <c r="J292" s="18"/>
      <c r="K292" s="8">
        <v>687</v>
      </c>
      <c r="L292" s="18">
        <v>20</v>
      </c>
      <c r="M292" s="18" t="s">
        <v>9</v>
      </c>
      <c r="N292" s="16" t="s">
        <v>8</v>
      </c>
    </row>
    <row r="293" spans="1:14" x14ac:dyDescent="0.3">
      <c r="A293" s="17">
        <v>16</v>
      </c>
      <c r="B293" s="18"/>
      <c r="C293" s="19">
        <v>24</v>
      </c>
      <c r="D293" s="18">
        <v>150</v>
      </c>
      <c r="E293" s="20" t="s">
        <v>9</v>
      </c>
      <c r="I293" s="17">
        <v>17</v>
      </c>
      <c r="J293" s="18"/>
      <c r="K293" s="8">
        <v>867</v>
      </c>
      <c r="L293" s="18">
        <v>20</v>
      </c>
      <c r="M293" s="18" t="s">
        <v>9</v>
      </c>
      <c r="N293" s="16" t="s">
        <v>8</v>
      </c>
    </row>
    <row r="294" spans="1:14" x14ac:dyDescent="0.3">
      <c r="A294" s="17">
        <v>16</v>
      </c>
      <c r="B294" s="18"/>
      <c r="C294" s="19">
        <v>56</v>
      </c>
      <c r="D294" s="18">
        <v>100</v>
      </c>
      <c r="E294" s="20" t="s">
        <v>9</v>
      </c>
      <c r="I294" s="17">
        <v>17</v>
      </c>
      <c r="J294" s="18"/>
      <c r="K294" s="8">
        <v>686</v>
      </c>
      <c r="L294" s="18">
        <v>20</v>
      </c>
      <c r="M294" s="18" t="s">
        <v>9</v>
      </c>
      <c r="N294" s="16" t="s">
        <v>8</v>
      </c>
    </row>
    <row r="295" spans="1:14" x14ac:dyDescent="0.3">
      <c r="A295" s="17">
        <v>16</v>
      </c>
      <c r="B295" s="18"/>
      <c r="C295" s="19">
        <v>19</v>
      </c>
      <c r="D295" s="18">
        <v>150</v>
      </c>
      <c r="E295" s="20" t="s">
        <v>9</v>
      </c>
      <c r="I295" s="17">
        <v>17</v>
      </c>
      <c r="J295" s="18"/>
      <c r="K295" s="24">
        <v>766</v>
      </c>
      <c r="L295" s="18">
        <v>20</v>
      </c>
      <c r="M295" s="18" t="s">
        <v>9</v>
      </c>
      <c r="N295" s="16" t="s">
        <v>8</v>
      </c>
    </row>
    <row r="296" spans="1:14" x14ac:dyDescent="0.3">
      <c r="A296" s="17">
        <v>16</v>
      </c>
      <c r="B296" s="18"/>
      <c r="C296" s="19">
        <v>15</v>
      </c>
      <c r="D296" s="18">
        <v>200</v>
      </c>
      <c r="E296" s="20" t="s">
        <v>9</v>
      </c>
      <c r="I296" s="17">
        <v>17</v>
      </c>
      <c r="J296" s="18"/>
      <c r="K296" s="24">
        <v>648</v>
      </c>
      <c r="L296" s="18">
        <v>20</v>
      </c>
      <c r="M296" s="18" t="s">
        <v>9</v>
      </c>
      <c r="N296" s="16" t="s">
        <v>8</v>
      </c>
    </row>
    <row r="297" spans="1:14" x14ac:dyDescent="0.3">
      <c r="A297" s="17">
        <v>16</v>
      </c>
      <c r="B297" s="18"/>
      <c r="C297" s="19">
        <v>37</v>
      </c>
      <c r="D297" s="18">
        <v>250</v>
      </c>
      <c r="E297" s="20" t="s">
        <v>9</v>
      </c>
      <c r="I297" s="17">
        <v>17</v>
      </c>
      <c r="J297" s="18"/>
      <c r="K297" s="24">
        <v>648</v>
      </c>
      <c r="L297" s="18">
        <v>20</v>
      </c>
      <c r="M297" s="18" t="s">
        <v>9</v>
      </c>
      <c r="N297" s="16" t="s">
        <v>12</v>
      </c>
    </row>
    <row r="298" spans="1:14" x14ac:dyDescent="0.3">
      <c r="A298" s="17">
        <v>16</v>
      </c>
      <c r="B298" s="18"/>
      <c r="C298" s="19">
        <v>73</v>
      </c>
      <c r="D298" s="18">
        <v>100</v>
      </c>
      <c r="E298" s="20" t="s">
        <v>9</v>
      </c>
      <c r="I298" s="17">
        <v>30</v>
      </c>
      <c r="J298" s="18"/>
      <c r="K298" s="24">
        <v>320</v>
      </c>
      <c r="L298" s="18">
        <v>100</v>
      </c>
      <c r="M298" s="18" t="s">
        <v>9</v>
      </c>
      <c r="N298" s="20" t="s">
        <v>8</v>
      </c>
    </row>
    <row r="299" spans="1:14" x14ac:dyDescent="0.3">
      <c r="A299" s="17">
        <v>16</v>
      </c>
      <c r="B299" s="18"/>
      <c r="C299" s="19">
        <v>27</v>
      </c>
      <c r="D299" s="18">
        <v>100</v>
      </c>
      <c r="E299" s="20" t="s">
        <v>9</v>
      </c>
      <c r="I299" s="17">
        <v>30</v>
      </c>
      <c r="J299" s="18"/>
      <c r="K299" s="24">
        <v>320</v>
      </c>
      <c r="L299" s="18">
        <v>100</v>
      </c>
      <c r="M299" s="18" t="s">
        <v>9</v>
      </c>
      <c r="N299" s="16" t="s">
        <v>12</v>
      </c>
    </row>
    <row r="300" spans="1:14" x14ac:dyDescent="0.3">
      <c r="A300" s="17">
        <v>16</v>
      </c>
      <c r="B300" s="18"/>
      <c r="C300" s="19">
        <v>72</v>
      </c>
      <c r="D300" s="18">
        <v>150</v>
      </c>
      <c r="E300" s="20" t="s">
        <v>9</v>
      </c>
      <c r="I300" s="17">
        <v>30</v>
      </c>
      <c r="J300" s="18"/>
      <c r="K300" s="24">
        <v>320</v>
      </c>
      <c r="L300" s="18">
        <v>100</v>
      </c>
      <c r="M300" s="5" t="s">
        <v>10</v>
      </c>
      <c r="N300" s="16" t="s">
        <v>8</v>
      </c>
    </row>
    <row r="301" spans="1:14" x14ac:dyDescent="0.3">
      <c r="A301" s="17">
        <v>16</v>
      </c>
      <c r="B301" s="18"/>
      <c r="C301" s="19">
        <v>59</v>
      </c>
      <c r="D301" s="18">
        <v>500</v>
      </c>
      <c r="E301" s="20" t="s">
        <v>10</v>
      </c>
      <c r="I301" s="17">
        <v>31</v>
      </c>
      <c r="J301" s="18"/>
      <c r="K301" s="24">
        <v>415</v>
      </c>
      <c r="L301" s="18">
        <v>50</v>
      </c>
      <c r="M301" s="18" t="s">
        <v>9</v>
      </c>
      <c r="N301" s="20" t="s">
        <v>8</v>
      </c>
    </row>
    <row r="302" spans="1:14" x14ac:dyDescent="0.3">
      <c r="A302" s="17">
        <v>16</v>
      </c>
      <c r="B302" s="18"/>
      <c r="C302" s="19">
        <v>95</v>
      </c>
      <c r="D302" s="18">
        <v>200</v>
      </c>
      <c r="E302" s="20" t="s">
        <v>10</v>
      </c>
      <c r="I302" s="17">
        <v>31</v>
      </c>
      <c r="J302" s="18"/>
      <c r="K302" s="24">
        <v>405</v>
      </c>
      <c r="L302" s="18">
        <v>50</v>
      </c>
      <c r="M302" s="18" t="s">
        <v>9</v>
      </c>
      <c r="N302" s="20" t="s">
        <v>8</v>
      </c>
    </row>
    <row r="303" spans="1:14" x14ac:dyDescent="0.3">
      <c r="A303" s="17">
        <v>16</v>
      </c>
      <c r="B303" s="18"/>
      <c r="C303" s="19">
        <v>58</v>
      </c>
      <c r="D303" s="18">
        <v>500</v>
      </c>
      <c r="E303" s="20" t="s">
        <v>10</v>
      </c>
      <c r="I303" s="17">
        <v>31</v>
      </c>
      <c r="J303" s="18"/>
      <c r="K303" s="8">
        <v>415</v>
      </c>
      <c r="L303" s="18">
        <v>50</v>
      </c>
      <c r="M303" s="18" t="s">
        <v>9</v>
      </c>
      <c r="N303" s="16" t="s">
        <v>12</v>
      </c>
    </row>
    <row r="304" spans="1:14" x14ac:dyDescent="0.3">
      <c r="A304" s="17">
        <v>16</v>
      </c>
      <c r="B304" s="18"/>
      <c r="C304" s="19">
        <v>85</v>
      </c>
      <c r="D304" s="18">
        <v>200</v>
      </c>
      <c r="E304" s="20" t="s">
        <v>10</v>
      </c>
      <c r="I304" s="17">
        <v>31</v>
      </c>
      <c r="J304" s="18"/>
      <c r="K304" s="24">
        <v>405</v>
      </c>
      <c r="L304" s="18">
        <v>50</v>
      </c>
      <c r="M304" s="18" t="s">
        <v>9</v>
      </c>
      <c r="N304" s="16" t="s">
        <v>12</v>
      </c>
    </row>
    <row r="305" spans="1:14" x14ac:dyDescent="0.3">
      <c r="A305" s="17">
        <v>16</v>
      </c>
      <c r="B305" s="18"/>
      <c r="C305" s="19">
        <v>5</v>
      </c>
      <c r="D305" s="18">
        <v>200</v>
      </c>
      <c r="E305" s="20" t="s">
        <v>10</v>
      </c>
      <c r="I305" s="17">
        <v>21</v>
      </c>
      <c r="J305" s="18"/>
      <c r="K305" s="24">
        <v>203</v>
      </c>
      <c r="L305" s="18">
        <v>50</v>
      </c>
      <c r="M305" s="18" t="s">
        <v>9</v>
      </c>
      <c r="N305" s="20" t="s">
        <v>8</v>
      </c>
    </row>
    <row r="306" spans="1:14" x14ac:dyDescent="0.3">
      <c r="A306" s="17">
        <v>16</v>
      </c>
      <c r="B306" s="18"/>
      <c r="C306" s="19">
        <v>78</v>
      </c>
      <c r="D306" s="18">
        <v>300</v>
      </c>
      <c r="E306" s="20" t="s">
        <v>10</v>
      </c>
      <c r="I306" s="17">
        <v>21</v>
      </c>
      <c r="J306" s="18"/>
      <c r="K306" s="24">
        <v>108</v>
      </c>
      <c r="L306" s="18">
        <v>50</v>
      </c>
      <c r="M306" s="18" t="s">
        <v>9</v>
      </c>
      <c r="N306" s="20" t="s">
        <v>8</v>
      </c>
    </row>
    <row r="307" spans="1:14" x14ac:dyDescent="0.3">
      <c r="A307" s="17">
        <v>16</v>
      </c>
      <c r="B307" s="18"/>
      <c r="C307" s="19">
        <v>87</v>
      </c>
      <c r="D307" s="18">
        <v>100</v>
      </c>
      <c r="E307" s="20" t="s">
        <v>10</v>
      </c>
      <c r="I307" s="17">
        <v>21</v>
      </c>
      <c r="J307" s="18"/>
      <c r="K307" s="8">
        <v>203</v>
      </c>
      <c r="L307" s="18">
        <v>50</v>
      </c>
      <c r="M307" s="18" t="s">
        <v>9</v>
      </c>
      <c r="N307" s="16" t="s">
        <v>12</v>
      </c>
    </row>
    <row r="308" spans="1:14" x14ac:dyDescent="0.3">
      <c r="A308" s="17">
        <v>16</v>
      </c>
      <c r="B308" s="18"/>
      <c r="C308" s="19">
        <v>75</v>
      </c>
      <c r="D308" s="18">
        <v>250</v>
      </c>
      <c r="E308" s="20" t="s">
        <v>10</v>
      </c>
      <c r="I308" s="17">
        <v>21</v>
      </c>
      <c r="J308" s="18"/>
      <c r="K308" s="24">
        <v>108</v>
      </c>
      <c r="L308" s="18">
        <v>50</v>
      </c>
      <c r="M308" s="18" t="s">
        <v>9</v>
      </c>
      <c r="N308" s="16" t="s">
        <v>12</v>
      </c>
    </row>
    <row r="309" spans="1:14" x14ac:dyDescent="0.3">
      <c r="A309" s="17">
        <v>16</v>
      </c>
      <c r="B309" s="18"/>
      <c r="C309" s="19">
        <v>17</v>
      </c>
      <c r="D309" s="18">
        <v>250</v>
      </c>
      <c r="E309" s="20" t="s">
        <v>10</v>
      </c>
      <c r="I309" s="17">
        <v>10</v>
      </c>
      <c r="J309" s="18"/>
      <c r="K309" s="24">
        <v>378</v>
      </c>
      <c r="L309" s="18">
        <v>50</v>
      </c>
      <c r="M309" s="18" t="s">
        <v>9</v>
      </c>
      <c r="N309" s="20" t="s">
        <v>8</v>
      </c>
    </row>
    <row r="310" spans="1:14" x14ac:dyDescent="0.3">
      <c r="A310" s="17">
        <v>16</v>
      </c>
      <c r="B310" s="18"/>
      <c r="C310" s="19">
        <v>25</v>
      </c>
      <c r="D310" s="18">
        <v>600</v>
      </c>
      <c r="E310" s="20" t="s">
        <v>10</v>
      </c>
      <c r="I310" s="17">
        <v>10</v>
      </c>
      <c r="J310" s="18"/>
      <c r="K310" s="24">
        <v>387</v>
      </c>
      <c r="L310" s="18">
        <v>50</v>
      </c>
      <c r="M310" s="18" t="s">
        <v>9</v>
      </c>
      <c r="N310" s="20" t="s">
        <v>8</v>
      </c>
    </row>
    <row r="311" spans="1:14" x14ac:dyDescent="0.3">
      <c r="A311" s="17">
        <v>16</v>
      </c>
      <c r="B311" s="18"/>
      <c r="C311" s="19">
        <v>29</v>
      </c>
      <c r="D311" s="18">
        <v>100</v>
      </c>
      <c r="E311" s="20" t="s">
        <v>10</v>
      </c>
      <c r="I311" s="17">
        <v>10</v>
      </c>
      <c r="J311" s="18"/>
      <c r="K311" s="24">
        <v>783</v>
      </c>
      <c r="L311" s="18">
        <v>50</v>
      </c>
      <c r="M311" s="18" t="s">
        <v>9</v>
      </c>
      <c r="N311" s="20" t="s">
        <v>8</v>
      </c>
    </row>
    <row r="312" spans="1:14" x14ac:dyDescent="0.3">
      <c r="A312" s="17">
        <v>16</v>
      </c>
      <c r="B312" s="18"/>
      <c r="C312" s="19">
        <v>24</v>
      </c>
      <c r="D312" s="18">
        <v>150</v>
      </c>
      <c r="E312" s="20" t="s">
        <v>10</v>
      </c>
      <c r="I312" s="17">
        <v>10</v>
      </c>
      <c r="J312" s="18"/>
      <c r="K312" s="24">
        <v>738</v>
      </c>
      <c r="L312" s="18">
        <v>50</v>
      </c>
      <c r="M312" s="18" t="s">
        <v>9</v>
      </c>
      <c r="N312" s="20" t="s">
        <v>8</v>
      </c>
    </row>
    <row r="313" spans="1:14" x14ac:dyDescent="0.3">
      <c r="A313" s="17">
        <v>16</v>
      </c>
      <c r="B313" s="18"/>
      <c r="C313" s="19">
        <v>56</v>
      </c>
      <c r="D313" s="18">
        <v>100</v>
      </c>
      <c r="E313" s="20" t="s">
        <v>10</v>
      </c>
      <c r="I313" s="17">
        <v>10</v>
      </c>
      <c r="J313" s="18"/>
      <c r="K313" s="24">
        <v>837</v>
      </c>
      <c r="L313" s="18">
        <v>50</v>
      </c>
      <c r="M313" s="18" t="s">
        <v>9</v>
      </c>
      <c r="N313" s="20" t="s">
        <v>8</v>
      </c>
    </row>
    <row r="314" spans="1:14" x14ac:dyDescent="0.3">
      <c r="A314" s="17">
        <v>16</v>
      </c>
      <c r="B314" s="18"/>
      <c r="C314" s="19">
        <v>19</v>
      </c>
      <c r="D314" s="18">
        <v>150</v>
      </c>
      <c r="E314" s="20" t="s">
        <v>10</v>
      </c>
      <c r="I314" s="17">
        <v>10</v>
      </c>
      <c r="J314" s="18"/>
      <c r="K314" s="24">
        <v>873</v>
      </c>
      <c r="L314" s="18">
        <v>50</v>
      </c>
      <c r="M314" s="18" t="s">
        <v>9</v>
      </c>
      <c r="N314" s="20" t="s">
        <v>8</v>
      </c>
    </row>
    <row r="315" spans="1:14" x14ac:dyDescent="0.3">
      <c r="A315" s="17">
        <v>16</v>
      </c>
      <c r="B315" s="18"/>
      <c r="C315" s="19">
        <v>15</v>
      </c>
      <c r="D315" s="18">
        <v>200</v>
      </c>
      <c r="E315" s="20" t="s">
        <v>10</v>
      </c>
    </row>
    <row r="316" spans="1:14" x14ac:dyDescent="0.3">
      <c r="A316" s="17">
        <v>16</v>
      </c>
      <c r="B316" s="18"/>
      <c r="C316" s="19">
        <v>37</v>
      </c>
      <c r="D316" s="18">
        <v>250</v>
      </c>
      <c r="E316" s="20" t="s">
        <v>10</v>
      </c>
    </row>
    <row r="317" spans="1:14" x14ac:dyDescent="0.3">
      <c r="A317" s="17">
        <v>16</v>
      </c>
      <c r="B317" s="18"/>
      <c r="C317" s="19">
        <v>72</v>
      </c>
      <c r="D317" s="18">
        <v>100</v>
      </c>
      <c r="E317" s="20" t="s">
        <v>10</v>
      </c>
    </row>
    <row r="318" spans="1:14" x14ac:dyDescent="0.3">
      <c r="A318" s="17">
        <v>16</v>
      </c>
      <c r="B318" s="18"/>
      <c r="C318" s="19">
        <v>27</v>
      </c>
      <c r="D318" s="18">
        <v>100</v>
      </c>
      <c r="E318" s="20" t="s">
        <v>10</v>
      </c>
    </row>
    <row r="319" spans="1:14" x14ac:dyDescent="0.3">
      <c r="A319" s="15">
        <v>1</v>
      </c>
      <c r="B319" s="18"/>
      <c r="C319" s="19">
        <v>33</v>
      </c>
      <c r="D319" s="18">
        <v>50</v>
      </c>
      <c r="E319" s="20" t="s">
        <v>9</v>
      </c>
    </row>
    <row r="320" spans="1:14" x14ac:dyDescent="0.3">
      <c r="A320" s="15">
        <v>1</v>
      </c>
      <c r="B320" s="18"/>
      <c r="C320" s="19">
        <v>55</v>
      </c>
      <c r="D320" s="18">
        <v>50</v>
      </c>
      <c r="E320" s="20" t="s">
        <v>9</v>
      </c>
    </row>
    <row r="321" spans="1:5" x14ac:dyDescent="0.3">
      <c r="A321" s="15">
        <v>1</v>
      </c>
      <c r="B321" s="18"/>
      <c r="C321" s="9">
        <v>33</v>
      </c>
      <c r="D321" s="18">
        <v>50</v>
      </c>
      <c r="E321" s="16" t="s">
        <v>10</v>
      </c>
    </row>
    <row r="322" spans="1:5" x14ac:dyDescent="0.3">
      <c r="A322" s="15">
        <v>1</v>
      </c>
      <c r="B322" s="18"/>
      <c r="C322" s="19">
        <v>55</v>
      </c>
      <c r="D322" s="18">
        <v>50</v>
      </c>
      <c r="E322" s="16" t="s">
        <v>10</v>
      </c>
    </row>
    <row r="323" spans="1:5" x14ac:dyDescent="0.3">
      <c r="A323" s="17">
        <v>3</v>
      </c>
      <c r="B323" s="18"/>
      <c r="C323" s="19">
        <v>50</v>
      </c>
      <c r="D323" s="18">
        <v>50</v>
      </c>
      <c r="E323" s="20" t="s">
        <v>9</v>
      </c>
    </row>
    <row r="324" spans="1:5" x14ac:dyDescent="0.3">
      <c r="A324" s="17">
        <v>3</v>
      </c>
      <c r="B324" s="18"/>
      <c r="C324" s="19">
        <v>5</v>
      </c>
      <c r="D324" s="18">
        <v>50</v>
      </c>
      <c r="E324" s="20" t="s">
        <v>9</v>
      </c>
    </row>
    <row r="325" spans="1:5" x14ac:dyDescent="0.3">
      <c r="A325" s="17">
        <v>3</v>
      </c>
      <c r="B325" s="18"/>
      <c r="C325" s="19">
        <v>25</v>
      </c>
      <c r="D325" s="18">
        <v>50</v>
      </c>
      <c r="E325" s="20" t="s">
        <v>9</v>
      </c>
    </row>
    <row r="326" spans="1:5" x14ac:dyDescent="0.3">
      <c r="A326" s="17">
        <v>3</v>
      </c>
      <c r="B326" s="18"/>
      <c r="C326" s="19">
        <v>52</v>
      </c>
      <c r="D326" s="18">
        <v>50</v>
      </c>
      <c r="E326" s="20" t="s">
        <v>9</v>
      </c>
    </row>
    <row r="327" spans="1:5" x14ac:dyDescent="0.3">
      <c r="A327" s="17">
        <v>3</v>
      </c>
      <c r="B327" s="18"/>
      <c r="C327" s="19">
        <v>31</v>
      </c>
      <c r="D327" s="18">
        <v>50</v>
      </c>
      <c r="E327" s="20" t="s">
        <v>9</v>
      </c>
    </row>
    <row r="328" spans="1:5" x14ac:dyDescent="0.3">
      <c r="A328" s="17">
        <v>3</v>
      </c>
      <c r="B328" s="18"/>
      <c r="C328" s="19">
        <v>71</v>
      </c>
      <c r="D328" s="18">
        <v>50</v>
      </c>
      <c r="E328" s="20" t="s">
        <v>9</v>
      </c>
    </row>
    <row r="329" spans="1:5" x14ac:dyDescent="0.3">
      <c r="A329" s="17">
        <v>3</v>
      </c>
      <c r="B329" s="18"/>
      <c r="C329" s="9">
        <v>50</v>
      </c>
      <c r="D329" s="18">
        <v>50</v>
      </c>
      <c r="E329" s="16" t="s">
        <v>10</v>
      </c>
    </row>
    <row r="330" spans="1:5" x14ac:dyDescent="0.3">
      <c r="A330" s="17">
        <v>3</v>
      </c>
      <c r="B330" s="18"/>
      <c r="C330" s="9">
        <v>5</v>
      </c>
      <c r="D330" s="18">
        <v>50</v>
      </c>
      <c r="E330" s="16" t="s">
        <v>10</v>
      </c>
    </row>
    <row r="331" spans="1:5" x14ac:dyDescent="0.3">
      <c r="A331" s="17">
        <v>3</v>
      </c>
      <c r="B331" s="18"/>
      <c r="C331" s="9">
        <v>25</v>
      </c>
      <c r="D331" s="18">
        <v>50</v>
      </c>
      <c r="E331" s="16" t="s">
        <v>10</v>
      </c>
    </row>
    <row r="332" spans="1:5" x14ac:dyDescent="0.3">
      <c r="A332" s="17">
        <v>3</v>
      </c>
      <c r="B332" s="18"/>
      <c r="C332" s="9">
        <v>52</v>
      </c>
      <c r="D332" s="18">
        <v>50</v>
      </c>
      <c r="E332" s="16" t="s">
        <v>10</v>
      </c>
    </row>
    <row r="333" spans="1:5" x14ac:dyDescent="0.3">
      <c r="A333" s="17">
        <v>3</v>
      </c>
      <c r="B333" s="18"/>
      <c r="C333" s="9">
        <v>31</v>
      </c>
      <c r="D333" s="18">
        <v>50</v>
      </c>
      <c r="E333" s="16" t="s">
        <v>10</v>
      </c>
    </row>
    <row r="334" spans="1:5" x14ac:dyDescent="0.3">
      <c r="A334" s="17">
        <v>3</v>
      </c>
      <c r="B334" s="18"/>
      <c r="C334" s="19">
        <v>71</v>
      </c>
      <c r="D334" s="18">
        <v>50</v>
      </c>
      <c r="E334" s="16" t="s">
        <v>10</v>
      </c>
    </row>
    <row r="335" spans="1:5" x14ac:dyDescent="0.3">
      <c r="A335" s="17">
        <v>3</v>
      </c>
      <c r="B335" s="18"/>
      <c r="C335" s="19">
        <v>23</v>
      </c>
      <c r="D335" s="18">
        <v>30</v>
      </c>
      <c r="E335" s="20" t="s">
        <v>9</v>
      </c>
    </row>
    <row r="336" spans="1:5" x14ac:dyDescent="0.3">
      <c r="A336" s="17">
        <v>3</v>
      </c>
      <c r="B336" s="18"/>
      <c r="C336" s="19">
        <v>32</v>
      </c>
      <c r="D336" s="18">
        <v>30</v>
      </c>
      <c r="E336" s="20" t="s">
        <v>9</v>
      </c>
    </row>
    <row r="337" spans="1:5" x14ac:dyDescent="0.3">
      <c r="A337" s="17">
        <v>3</v>
      </c>
      <c r="B337" s="18"/>
      <c r="C337" s="19">
        <v>67</v>
      </c>
      <c r="D337" s="18">
        <v>30</v>
      </c>
      <c r="E337" s="20" t="s">
        <v>9</v>
      </c>
    </row>
    <row r="338" spans="1:5" x14ac:dyDescent="0.3">
      <c r="A338" s="17">
        <v>3</v>
      </c>
      <c r="B338" s="18"/>
      <c r="C338" s="19">
        <v>76</v>
      </c>
      <c r="D338" s="18">
        <v>30</v>
      </c>
      <c r="E338" s="20" t="s">
        <v>9</v>
      </c>
    </row>
    <row r="339" spans="1:5" x14ac:dyDescent="0.3">
      <c r="A339" s="17">
        <v>3</v>
      </c>
      <c r="B339" s="18"/>
      <c r="C339" s="19">
        <v>40</v>
      </c>
      <c r="D339" s="18">
        <v>30</v>
      </c>
      <c r="E339" s="20" t="s">
        <v>9</v>
      </c>
    </row>
    <row r="340" spans="1:5" x14ac:dyDescent="0.3">
      <c r="A340" s="17">
        <v>3</v>
      </c>
      <c r="B340" s="18"/>
      <c r="C340" s="19">
        <v>4</v>
      </c>
      <c r="D340" s="18">
        <v>30</v>
      </c>
      <c r="E340" s="20" t="s">
        <v>9</v>
      </c>
    </row>
    <row r="341" spans="1:5" x14ac:dyDescent="0.3">
      <c r="A341" s="17">
        <v>3</v>
      </c>
      <c r="B341" s="18"/>
      <c r="C341" s="9">
        <v>23</v>
      </c>
      <c r="D341" s="18">
        <v>30</v>
      </c>
      <c r="E341" s="16" t="s">
        <v>10</v>
      </c>
    </row>
    <row r="342" spans="1:5" x14ac:dyDescent="0.3">
      <c r="A342" s="17">
        <v>3</v>
      </c>
      <c r="B342" s="18"/>
      <c r="C342" s="9">
        <v>32</v>
      </c>
      <c r="D342" s="18">
        <v>30</v>
      </c>
      <c r="E342" s="16" t="s">
        <v>10</v>
      </c>
    </row>
    <row r="343" spans="1:5" x14ac:dyDescent="0.3">
      <c r="A343" s="17">
        <v>3</v>
      </c>
      <c r="B343" s="18"/>
      <c r="C343" s="9">
        <v>67</v>
      </c>
      <c r="D343" s="18">
        <v>30</v>
      </c>
      <c r="E343" s="16" t="s">
        <v>10</v>
      </c>
    </row>
    <row r="344" spans="1:5" x14ac:dyDescent="0.3">
      <c r="A344" s="17">
        <v>3</v>
      </c>
      <c r="B344" s="18"/>
      <c r="C344" s="9">
        <v>76</v>
      </c>
      <c r="D344" s="18">
        <v>30</v>
      </c>
      <c r="E344" s="16" t="s">
        <v>10</v>
      </c>
    </row>
    <row r="345" spans="1:5" x14ac:dyDescent="0.3">
      <c r="A345" s="17">
        <v>3</v>
      </c>
      <c r="B345" s="18"/>
      <c r="C345" s="9">
        <v>40</v>
      </c>
      <c r="D345" s="18">
        <v>30</v>
      </c>
      <c r="E345" s="16" t="s">
        <v>10</v>
      </c>
    </row>
    <row r="346" spans="1:5" x14ac:dyDescent="0.3">
      <c r="A346" s="17">
        <v>3</v>
      </c>
      <c r="B346" s="18"/>
      <c r="C346" s="19">
        <v>4</v>
      </c>
      <c r="D346" s="18">
        <v>30</v>
      </c>
      <c r="E346" s="16" t="s">
        <v>10</v>
      </c>
    </row>
    <row r="347" spans="1:5" x14ac:dyDescent="0.3">
      <c r="A347" s="17">
        <v>3</v>
      </c>
      <c r="B347" s="18"/>
      <c r="C347" s="9">
        <v>23</v>
      </c>
      <c r="D347" s="5">
        <v>200</v>
      </c>
      <c r="E347" s="16" t="s">
        <v>9</v>
      </c>
    </row>
    <row r="348" spans="1:5" x14ac:dyDescent="0.3">
      <c r="A348" s="17">
        <v>3</v>
      </c>
      <c r="B348" s="18"/>
      <c r="C348" s="19">
        <v>32</v>
      </c>
      <c r="D348" s="5">
        <v>200</v>
      </c>
      <c r="E348" s="16" t="s">
        <v>9</v>
      </c>
    </row>
    <row r="349" spans="1:5" x14ac:dyDescent="0.3">
      <c r="A349" s="17">
        <v>3</v>
      </c>
      <c r="B349" s="18"/>
      <c r="C349" s="19">
        <v>25</v>
      </c>
      <c r="D349" s="5">
        <v>200</v>
      </c>
      <c r="E349" s="16" t="s">
        <v>9</v>
      </c>
    </row>
    <row r="350" spans="1:5" x14ac:dyDescent="0.3">
      <c r="A350" s="17">
        <v>3</v>
      </c>
      <c r="B350" s="18"/>
      <c r="C350" s="19">
        <v>52</v>
      </c>
      <c r="D350" s="5">
        <v>200</v>
      </c>
      <c r="E350" s="16" t="s">
        <v>9</v>
      </c>
    </row>
    <row r="351" spans="1:5" x14ac:dyDescent="0.3">
      <c r="A351" s="17">
        <v>3</v>
      </c>
      <c r="B351" s="18"/>
      <c r="C351" s="9">
        <v>23</v>
      </c>
      <c r="D351" s="5">
        <v>200</v>
      </c>
      <c r="E351" s="16" t="s">
        <v>10</v>
      </c>
    </row>
    <row r="352" spans="1:5" x14ac:dyDescent="0.3">
      <c r="A352" s="17">
        <v>3</v>
      </c>
      <c r="B352" s="18"/>
      <c r="C352" s="19">
        <v>32</v>
      </c>
      <c r="D352" s="5">
        <v>200</v>
      </c>
      <c r="E352" s="16" t="s">
        <v>10</v>
      </c>
    </row>
    <row r="353" spans="1:5" x14ac:dyDescent="0.3">
      <c r="A353" s="17">
        <v>3</v>
      </c>
      <c r="B353" s="18"/>
      <c r="C353" s="19">
        <v>25</v>
      </c>
      <c r="D353" s="5">
        <v>200</v>
      </c>
      <c r="E353" s="16" t="s">
        <v>10</v>
      </c>
    </row>
    <row r="354" spans="1:5" x14ac:dyDescent="0.3">
      <c r="A354" s="17">
        <v>3</v>
      </c>
      <c r="B354" s="18"/>
      <c r="C354" s="19">
        <v>52</v>
      </c>
      <c r="D354" s="5">
        <v>200</v>
      </c>
      <c r="E354" s="16" t="s">
        <v>10</v>
      </c>
    </row>
    <row r="355" spans="1:5" x14ac:dyDescent="0.3">
      <c r="A355" s="17">
        <v>17</v>
      </c>
      <c r="B355" s="18"/>
      <c r="C355" s="19">
        <v>63</v>
      </c>
      <c r="D355" s="18">
        <v>20</v>
      </c>
      <c r="E355" s="20" t="s">
        <v>9</v>
      </c>
    </row>
    <row r="356" spans="1:5" x14ac:dyDescent="0.3">
      <c r="A356" s="17">
        <v>17</v>
      </c>
      <c r="B356" s="18"/>
      <c r="C356" s="19">
        <v>36</v>
      </c>
      <c r="D356" s="18">
        <v>20</v>
      </c>
      <c r="E356" s="20" t="s">
        <v>9</v>
      </c>
    </row>
    <row r="357" spans="1:5" x14ac:dyDescent="0.3">
      <c r="A357" s="17">
        <v>17</v>
      </c>
      <c r="B357" s="18"/>
      <c r="C357" s="19">
        <v>55</v>
      </c>
      <c r="D357" s="18">
        <v>100</v>
      </c>
      <c r="E357" s="20" t="s">
        <v>9</v>
      </c>
    </row>
    <row r="358" spans="1:5" x14ac:dyDescent="0.3">
      <c r="A358" s="17">
        <v>17</v>
      </c>
      <c r="B358" s="18"/>
      <c r="C358" s="9">
        <v>55</v>
      </c>
      <c r="D358" s="5">
        <v>100</v>
      </c>
      <c r="E358" s="16" t="s">
        <v>10</v>
      </c>
    </row>
    <row r="359" spans="1:5" x14ac:dyDescent="0.3">
      <c r="A359" s="15">
        <v>18</v>
      </c>
      <c r="B359" s="5"/>
      <c r="C359" s="9">
        <v>17</v>
      </c>
      <c r="D359" s="5">
        <v>40</v>
      </c>
      <c r="E359" s="16" t="s">
        <v>9</v>
      </c>
    </row>
    <row r="360" spans="1:5" x14ac:dyDescent="0.3">
      <c r="A360" s="15">
        <v>18</v>
      </c>
      <c r="B360" s="5"/>
      <c r="C360" s="19">
        <v>71</v>
      </c>
      <c r="D360" s="5">
        <v>40</v>
      </c>
      <c r="E360" s="16" t="s">
        <v>9</v>
      </c>
    </row>
    <row r="361" spans="1:5" x14ac:dyDescent="0.3">
      <c r="A361" s="15">
        <v>18</v>
      </c>
      <c r="B361" s="5"/>
      <c r="C361" s="19">
        <v>23</v>
      </c>
      <c r="D361" s="5">
        <v>40</v>
      </c>
      <c r="E361" s="16" t="s">
        <v>9</v>
      </c>
    </row>
    <row r="362" spans="1:5" x14ac:dyDescent="0.3">
      <c r="A362" s="15">
        <v>18</v>
      </c>
      <c r="B362" s="5"/>
      <c r="C362" s="19">
        <v>32</v>
      </c>
      <c r="D362" s="5">
        <v>40</v>
      </c>
      <c r="E362" s="16" t="s">
        <v>9</v>
      </c>
    </row>
    <row r="363" spans="1:5" x14ac:dyDescent="0.3">
      <c r="A363" s="15">
        <v>18</v>
      </c>
      <c r="B363" s="5"/>
      <c r="C363" s="9">
        <v>17</v>
      </c>
      <c r="D363" s="5">
        <v>40</v>
      </c>
      <c r="E363" s="16" t="s">
        <v>10</v>
      </c>
    </row>
    <row r="364" spans="1:5" x14ac:dyDescent="0.3">
      <c r="A364" s="15">
        <v>18</v>
      </c>
      <c r="B364" s="5"/>
      <c r="C364" s="9">
        <v>71</v>
      </c>
      <c r="D364" s="5">
        <v>40</v>
      </c>
      <c r="E364" s="16" t="s">
        <v>10</v>
      </c>
    </row>
    <row r="365" spans="1:5" x14ac:dyDescent="0.3">
      <c r="A365" s="15">
        <v>18</v>
      </c>
      <c r="B365" s="5"/>
      <c r="C365" s="9">
        <v>23</v>
      </c>
      <c r="D365" s="5">
        <v>40</v>
      </c>
      <c r="E365" s="16" t="s">
        <v>10</v>
      </c>
    </row>
    <row r="366" spans="1:5" x14ac:dyDescent="0.3">
      <c r="A366" s="15">
        <v>18</v>
      </c>
      <c r="B366" s="5"/>
      <c r="C366" s="19">
        <v>32</v>
      </c>
      <c r="D366" s="5">
        <v>40</v>
      </c>
      <c r="E366" s="16" t="s">
        <v>10</v>
      </c>
    </row>
    <row r="367" spans="1:5" x14ac:dyDescent="0.3">
      <c r="A367" s="17">
        <v>7</v>
      </c>
      <c r="B367" s="18"/>
      <c r="C367" s="19">
        <v>25</v>
      </c>
      <c r="D367" s="18">
        <v>500</v>
      </c>
      <c r="E367" s="20" t="s">
        <v>9</v>
      </c>
    </row>
    <row r="368" spans="1:5" x14ac:dyDescent="0.3">
      <c r="A368" s="17">
        <v>7</v>
      </c>
      <c r="B368" s="18"/>
      <c r="C368" s="19">
        <v>52</v>
      </c>
      <c r="D368" s="18">
        <v>100</v>
      </c>
      <c r="E368" s="20" t="s">
        <v>9</v>
      </c>
    </row>
    <row r="369" spans="1:5" x14ac:dyDescent="0.3">
      <c r="A369" s="17">
        <v>7</v>
      </c>
      <c r="B369" s="18"/>
      <c r="C369" s="19">
        <v>25</v>
      </c>
      <c r="D369" s="18">
        <v>500</v>
      </c>
      <c r="E369" s="20" t="s">
        <v>10</v>
      </c>
    </row>
    <row r="370" spans="1:5" x14ac:dyDescent="0.3">
      <c r="A370" s="17">
        <v>7</v>
      </c>
      <c r="B370" s="18"/>
      <c r="C370" s="19">
        <v>52</v>
      </c>
      <c r="D370" s="18">
        <v>100</v>
      </c>
      <c r="E370" s="20" t="s">
        <v>10</v>
      </c>
    </row>
    <row r="371" spans="1:5" x14ac:dyDescent="0.3">
      <c r="A371" s="17">
        <v>12</v>
      </c>
      <c r="B371" s="18"/>
      <c r="C371" s="19">
        <v>43</v>
      </c>
      <c r="D371" s="18">
        <v>200</v>
      </c>
      <c r="E371" s="20" t="s">
        <v>9</v>
      </c>
    </row>
    <row r="372" spans="1:5" x14ac:dyDescent="0.3">
      <c r="A372" s="17">
        <v>12</v>
      </c>
      <c r="B372" s="18"/>
      <c r="C372" s="19">
        <v>34</v>
      </c>
      <c r="D372" s="18">
        <v>200</v>
      </c>
      <c r="E372" s="20" t="s">
        <v>9</v>
      </c>
    </row>
    <row r="373" spans="1:5" x14ac:dyDescent="0.3">
      <c r="A373" s="17">
        <v>12</v>
      </c>
      <c r="B373" s="18"/>
      <c r="C373" s="9">
        <v>43</v>
      </c>
      <c r="D373" s="18">
        <v>800</v>
      </c>
      <c r="E373" s="16" t="s">
        <v>10</v>
      </c>
    </row>
    <row r="374" spans="1:5" x14ac:dyDescent="0.3">
      <c r="A374" s="17">
        <v>12</v>
      </c>
      <c r="B374" s="18"/>
      <c r="C374" s="19">
        <v>34</v>
      </c>
      <c r="D374" s="18">
        <v>200</v>
      </c>
      <c r="E374" s="16" t="s">
        <v>10</v>
      </c>
    </row>
    <row r="375" spans="1:5" x14ac:dyDescent="0.3">
      <c r="A375" s="17">
        <v>19</v>
      </c>
      <c r="B375" s="18"/>
      <c r="C375" s="19">
        <v>37</v>
      </c>
      <c r="D375" s="18">
        <v>120</v>
      </c>
      <c r="E375" s="20" t="s">
        <v>9</v>
      </c>
    </row>
    <row r="376" spans="1:5" x14ac:dyDescent="0.3">
      <c r="A376" s="17">
        <v>19</v>
      </c>
      <c r="B376" s="18"/>
      <c r="C376" s="19">
        <v>73</v>
      </c>
      <c r="D376" s="18">
        <v>120</v>
      </c>
      <c r="E376" s="20" t="s">
        <v>9</v>
      </c>
    </row>
    <row r="377" spans="1:5" x14ac:dyDescent="0.3">
      <c r="A377" s="17">
        <v>19</v>
      </c>
      <c r="B377" s="18"/>
      <c r="C377" s="19">
        <v>39</v>
      </c>
      <c r="D377" s="18">
        <v>100</v>
      </c>
      <c r="E377" s="20" t="s">
        <v>9</v>
      </c>
    </row>
    <row r="378" spans="1:5" x14ac:dyDescent="0.3">
      <c r="A378" s="17">
        <v>19</v>
      </c>
      <c r="B378" s="18"/>
      <c r="C378" s="19">
        <v>23</v>
      </c>
      <c r="D378" s="18">
        <v>60</v>
      </c>
      <c r="E378" s="20" t="s">
        <v>9</v>
      </c>
    </row>
    <row r="379" spans="1:5" x14ac:dyDescent="0.3">
      <c r="A379" s="17">
        <v>19</v>
      </c>
      <c r="B379" s="18"/>
      <c r="C379" s="19">
        <v>32</v>
      </c>
      <c r="D379" s="18">
        <v>60</v>
      </c>
      <c r="E379" s="20" t="s">
        <v>9</v>
      </c>
    </row>
    <row r="380" spans="1:5" x14ac:dyDescent="0.3">
      <c r="A380" s="17">
        <v>19</v>
      </c>
      <c r="B380" s="18"/>
      <c r="C380" s="19">
        <v>37</v>
      </c>
      <c r="D380" s="18">
        <v>120</v>
      </c>
      <c r="E380" s="20" t="s">
        <v>10</v>
      </c>
    </row>
    <row r="381" spans="1:5" x14ac:dyDescent="0.3">
      <c r="A381" s="17">
        <v>19</v>
      </c>
      <c r="B381" s="18"/>
      <c r="C381" s="19">
        <v>73</v>
      </c>
      <c r="D381" s="18">
        <v>120</v>
      </c>
      <c r="E381" s="20" t="s">
        <v>10</v>
      </c>
    </row>
    <row r="382" spans="1:5" x14ac:dyDescent="0.3">
      <c r="A382" s="17">
        <v>19</v>
      </c>
      <c r="B382" s="18"/>
      <c r="C382" s="19">
        <v>23</v>
      </c>
      <c r="D382" s="18">
        <v>60</v>
      </c>
      <c r="E382" s="20" t="s">
        <v>10</v>
      </c>
    </row>
    <row r="383" spans="1:5" x14ac:dyDescent="0.3">
      <c r="A383" s="17">
        <v>19</v>
      </c>
      <c r="B383" s="18"/>
      <c r="C383" s="19">
        <v>32</v>
      </c>
      <c r="D383" s="18">
        <v>60</v>
      </c>
      <c r="E383" s="20" t="s">
        <v>10</v>
      </c>
    </row>
    <row r="384" spans="1:5" x14ac:dyDescent="0.3">
      <c r="A384" s="17">
        <v>19</v>
      </c>
      <c r="B384" s="18"/>
      <c r="C384" s="19">
        <v>67</v>
      </c>
      <c r="D384" s="18">
        <v>50</v>
      </c>
      <c r="E384" s="20" t="s">
        <v>9</v>
      </c>
    </row>
    <row r="385" spans="1:5" x14ac:dyDescent="0.3">
      <c r="A385" s="17">
        <v>19</v>
      </c>
      <c r="B385" s="18"/>
      <c r="C385" s="19">
        <v>76</v>
      </c>
      <c r="D385" s="18">
        <v>50</v>
      </c>
      <c r="E385" s="20" t="s">
        <v>9</v>
      </c>
    </row>
    <row r="386" spans="1:5" x14ac:dyDescent="0.3">
      <c r="A386" s="17">
        <v>19</v>
      </c>
      <c r="B386" s="18"/>
      <c r="C386" s="19">
        <v>16</v>
      </c>
      <c r="D386" s="18">
        <v>50</v>
      </c>
      <c r="E386" s="20" t="s">
        <v>9</v>
      </c>
    </row>
    <row r="387" spans="1:5" x14ac:dyDescent="0.3">
      <c r="A387" s="17">
        <v>19</v>
      </c>
      <c r="B387" s="18"/>
      <c r="C387" s="19">
        <v>61</v>
      </c>
      <c r="D387" s="18">
        <v>50</v>
      </c>
      <c r="E387" s="20" t="s">
        <v>9</v>
      </c>
    </row>
    <row r="388" spans="1:5" x14ac:dyDescent="0.3">
      <c r="A388" s="17">
        <v>19</v>
      </c>
      <c r="B388" s="18"/>
      <c r="C388" s="9">
        <v>67</v>
      </c>
      <c r="D388" s="18">
        <v>50</v>
      </c>
      <c r="E388" s="16" t="s">
        <v>10</v>
      </c>
    </row>
    <row r="389" spans="1:5" x14ac:dyDescent="0.3">
      <c r="A389" s="17">
        <v>19</v>
      </c>
      <c r="B389" s="18"/>
      <c r="C389" s="9">
        <v>76</v>
      </c>
      <c r="D389" s="18">
        <v>50</v>
      </c>
      <c r="E389" s="16" t="s">
        <v>10</v>
      </c>
    </row>
    <row r="390" spans="1:5" x14ac:dyDescent="0.3">
      <c r="A390" s="17">
        <v>19</v>
      </c>
      <c r="B390" s="18"/>
      <c r="C390" s="9">
        <v>16</v>
      </c>
      <c r="D390" s="18">
        <v>50</v>
      </c>
      <c r="E390" s="16" t="s">
        <v>10</v>
      </c>
    </row>
    <row r="391" spans="1:5" x14ac:dyDescent="0.3">
      <c r="A391" s="17">
        <v>19</v>
      </c>
      <c r="B391" s="18"/>
      <c r="C391" s="19">
        <v>61</v>
      </c>
      <c r="D391" s="18">
        <v>50</v>
      </c>
      <c r="E391" s="16" t="s">
        <v>10</v>
      </c>
    </row>
    <row r="392" spans="1:5" x14ac:dyDescent="0.3">
      <c r="A392" s="17">
        <v>16</v>
      </c>
      <c r="B392" s="18"/>
      <c r="C392" s="19">
        <v>17</v>
      </c>
      <c r="D392" s="18">
        <v>50</v>
      </c>
      <c r="E392" s="20" t="s">
        <v>9</v>
      </c>
    </row>
    <row r="393" spans="1:5" x14ac:dyDescent="0.3">
      <c r="A393" s="17">
        <v>20</v>
      </c>
      <c r="B393" s="18"/>
      <c r="C393" s="19">
        <v>18</v>
      </c>
      <c r="D393" s="18">
        <v>20</v>
      </c>
      <c r="E393" s="20" t="s">
        <v>9</v>
      </c>
    </row>
    <row r="394" spans="1:5" x14ac:dyDescent="0.3">
      <c r="A394" s="17">
        <v>20</v>
      </c>
      <c r="B394" s="18"/>
      <c r="C394" s="19">
        <v>81</v>
      </c>
      <c r="D394" s="18">
        <v>20</v>
      </c>
      <c r="E394" s="20" t="s">
        <v>9</v>
      </c>
    </row>
    <row r="395" spans="1:5" x14ac:dyDescent="0.3">
      <c r="A395" s="17">
        <v>20</v>
      </c>
      <c r="B395" s="18"/>
      <c r="C395" s="19">
        <v>19</v>
      </c>
      <c r="D395" s="18">
        <v>10</v>
      </c>
      <c r="E395" s="20" t="s">
        <v>9</v>
      </c>
    </row>
    <row r="396" spans="1:5" x14ac:dyDescent="0.3">
      <c r="A396" s="17">
        <v>20</v>
      </c>
      <c r="B396" s="18"/>
      <c r="C396" s="19">
        <v>91</v>
      </c>
      <c r="D396" s="18">
        <v>10</v>
      </c>
      <c r="E396" s="20" t="s">
        <v>9</v>
      </c>
    </row>
    <row r="397" spans="1:5" x14ac:dyDescent="0.3">
      <c r="A397" s="17">
        <v>20</v>
      </c>
      <c r="B397" s="18"/>
      <c r="C397" s="19">
        <v>29</v>
      </c>
      <c r="D397" s="18">
        <v>10</v>
      </c>
      <c r="E397" s="20" t="s">
        <v>9</v>
      </c>
    </row>
    <row r="398" spans="1:5" x14ac:dyDescent="0.3">
      <c r="A398" s="17">
        <v>20</v>
      </c>
      <c r="B398" s="18"/>
      <c r="C398" s="19">
        <v>92</v>
      </c>
      <c r="D398" s="18">
        <v>10</v>
      </c>
      <c r="E398" s="20" t="s">
        <v>9</v>
      </c>
    </row>
    <row r="399" spans="1:5" x14ac:dyDescent="0.3">
      <c r="A399" s="17">
        <v>20</v>
      </c>
      <c r="B399" s="18"/>
      <c r="C399" s="9">
        <v>18</v>
      </c>
      <c r="D399" s="5">
        <v>20</v>
      </c>
      <c r="E399" s="16" t="s">
        <v>10</v>
      </c>
    </row>
    <row r="400" spans="1:5" x14ac:dyDescent="0.3">
      <c r="A400" s="17">
        <v>20</v>
      </c>
      <c r="B400" s="18"/>
      <c r="C400" s="9">
        <v>81</v>
      </c>
      <c r="D400" s="5">
        <v>20</v>
      </c>
      <c r="E400" s="16" t="s">
        <v>10</v>
      </c>
    </row>
    <row r="401" spans="1:5" x14ac:dyDescent="0.3">
      <c r="A401" s="17">
        <v>20</v>
      </c>
      <c r="B401" s="18"/>
      <c r="C401" s="9">
        <v>19</v>
      </c>
      <c r="D401" s="5">
        <v>10</v>
      </c>
      <c r="E401" s="16" t="s">
        <v>10</v>
      </c>
    </row>
    <row r="402" spans="1:5" x14ac:dyDescent="0.3">
      <c r="A402" s="17">
        <v>20</v>
      </c>
      <c r="B402" s="18"/>
      <c r="C402" s="9">
        <v>91</v>
      </c>
      <c r="D402" s="5">
        <v>10</v>
      </c>
      <c r="E402" s="16" t="s">
        <v>10</v>
      </c>
    </row>
    <row r="403" spans="1:5" x14ac:dyDescent="0.3">
      <c r="A403" s="17">
        <v>20</v>
      </c>
      <c r="B403" s="18"/>
      <c r="C403" s="9">
        <v>29</v>
      </c>
      <c r="D403" s="5">
        <v>10</v>
      </c>
      <c r="E403" s="16" t="s">
        <v>10</v>
      </c>
    </row>
    <row r="404" spans="1:5" x14ac:dyDescent="0.3">
      <c r="A404" s="17">
        <v>20</v>
      </c>
      <c r="B404" s="18"/>
      <c r="C404" s="19">
        <v>92</v>
      </c>
      <c r="D404" s="5">
        <v>10</v>
      </c>
      <c r="E404" s="16" t="s">
        <v>10</v>
      </c>
    </row>
    <row r="405" spans="1:5" x14ac:dyDescent="0.3">
      <c r="A405" s="17">
        <v>21</v>
      </c>
      <c r="B405" s="5"/>
      <c r="C405" s="19">
        <v>7</v>
      </c>
      <c r="D405" s="18">
        <v>50</v>
      </c>
      <c r="E405" s="20" t="s">
        <v>9</v>
      </c>
    </row>
    <row r="406" spans="1:5" x14ac:dyDescent="0.3">
      <c r="A406" s="17">
        <v>21</v>
      </c>
      <c r="B406" s="5"/>
      <c r="C406" s="19">
        <v>70</v>
      </c>
      <c r="D406" s="18">
        <v>50</v>
      </c>
      <c r="E406" s="20" t="s">
        <v>9</v>
      </c>
    </row>
    <row r="407" spans="1:5" x14ac:dyDescent="0.3">
      <c r="A407" s="17">
        <v>21</v>
      </c>
      <c r="B407" s="5"/>
      <c r="C407" s="19">
        <v>17</v>
      </c>
      <c r="D407" s="18">
        <v>30</v>
      </c>
      <c r="E407" s="20" t="s">
        <v>9</v>
      </c>
    </row>
    <row r="408" spans="1:5" x14ac:dyDescent="0.3">
      <c r="A408" s="17">
        <v>21</v>
      </c>
      <c r="B408" s="5"/>
      <c r="C408" s="19">
        <v>71</v>
      </c>
      <c r="D408" s="18">
        <v>30</v>
      </c>
      <c r="E408" s="20" t="s">
        <v>9</v>
      </c>
    </row>
    <row r="409" spans="1:5" x14ac:dyDescent="0.3">
      <c r="A409" s="17">
        <v>21</v>
      </c>
      <c r="B409" s="5"/>
      <c r="C409" s="19">
        <v>7</v>
      </c>
      <c r="D409" s="18">
        <v>50</v>
      </c>
      <c r="E409" s="20" t="s">
        <v>10</v>
      </c>
    </row>
    <row r="410" spans="1:5" x14ac:dyDescent="0.3">
      <c r="A410" s="17">
        <v>21</v>
      </c>
      <c r="B410" s="5"/>
      <c r="C410" s="19">
        <v>70</v>
      </c>
      <c r="D410" s="5">
        <v>50</v>
      </c>
      <c r="E410" s="20" t="s">
        <v>10</v>
      </c>
    </row>
    <row r="411" spans="1:5" x14ac:dyDescent="0.3">
      <c r="A411" s="17">
        <v>21</v>
      </c>
      <c r="B411" s="5"/>
      <c r="C411" s="19">
        <v>17</v>
      </c>
      <c r="D411" s="5">
        <v>30</v>
      </c>
      <c r="E411" s="20" t="s">
        <v>10</v>
      </c>
    </row>
    <row r="412" spans="1:5" x14ac:dyDescent="0.3">
      <c r="A412" s="17">
        <v>21</v>
      </c>
      <c r="B412" s="5"/>
      <c r="C412" s="19">
        <v>71</v>
      </c>
      <c r="D412" s="5">
        <v>30</v>
      </c>
      <c r="E412" s="20" t="s">
        <v>10</v>
      </c>
    </row>
    <row r="413" spans="1:5" x14ac:dyDescent="0.3">
      <c r="A413" s="17">
        <v>21</v>
      </c>
      <c r="B413" s="5"/>
      <c r="C413" s="19">
        <v>8</v>
      </c>
      <c r="D413" s="5">
        <v>30</v>
      </c>
      <c r="E413" s="20" t="s">
        <v>9</v>
      </c>
    </row>
    <row r="414" spans="1:5" x14ac:dyDescent="0.3">
      <c r="A414" s="17">
        <v>21</v>
      </c>
      <c r="B414" s="5"/>
      <c r="C414" s="19">
        <v>80</v>
      </c>
      <c r="D414" s="5">
        <v>30</v>
      </c>
      <c r="E414" s="20" t="s">
        <v>9</v>
      </c>
    </row>
    <row r="415" spans="1:5" x14ac:dyDescent="0.3">
      <c r="A415" s="17">
        <v>21</v>
      </c>
      <c r="B415" s="5"/>
      <c r="C415" s="19">
        <v>3</v>
      </c>
      <c r="D415" s="5">
        <v>30</v>
      </c>
      <c r="E415" s="20" t="s">
        <v>9</v>
      </c>
    </row>
    <row r="416" spans="1:5" x14ac:dyDescent="0.3">
      <c r="A416" s="17">
        <v>21</v>
      </c>
      <c r="B416" s="5"/>
      <c r="C416" s="19">
        <v>30</v>
      </c>
      <c r="D416" s="5">
        <v>30</v>
      </c>
      <c r="E416" s="20" t="s">
        <v>9</v>
      </c>
    </row>
    <row r="417" spans="1:5" x14ac:dyDescent="0.3">
      <c r="A417" s="17">
        <v>21</v>
      </c>
      <c r="B417" s="5"/>
      <c r="C417" s="9">
        <v>8</v>
      </c>
      <c r="D417" s="5">
        <v>30</v>
      </c>
      <c r="E417" s="16" t="s">
        <v>10</v>
      </c>
    </row>
    <row r="418" spans="1:5" x14ac:dyDescent="0.3">
      <c r="A418" s="17">
        <v>21</v>
      </c>
      <c r="B418" s="5"/>
      <c r="C418" s="9">
        <v>80</v>
      </c>
      <c r="D418" s="5">
        <v>30</v>
      </c>
      <c r="E418" s="16" t="s">
        <v>10</v>
      </c>
    </row>
    <row r="419" spans="1:5" x14ac:dyDescent="0.3">
      <c r="A419" s="17">
        <v>21</v>
      </c>
      <c r="B419" s="5"/>
      <c r="C419" s="9">
        <v>3</v>
      </c>
      <c r="D419" s="5">
        <v>30</v>
      </c>
      <c r="E419" s="16" t="s">
        <v>10</v>
      </c>
    </row>
    <row r="420" spans="1:5" x14ac:dyDescent="0.3">
      <c r="A420" s="17">
        <v>21</v>
      </c>
      <c r="B420" s="5"/>
      <c r="C420" s="19">
        <v>30</v>
      </c>
      <c r="D420" s="5">
        <v>30</v>
      </c>
      <c r="E420" s="16" t="s">
        <v>10</v>
      </c>
    </row>
    <row r="421" spans="1:5" x14ac:dyDescent="0.3">
      <c r="A421" s="15">
        <v>22</v>
      </c>
      <c r="B421" s="5"/>
      <c r="C421" s="9">
        <v>81</v>
      </c>
      <c r="D421" s="5">
        <v>50</v>
      </c>
      <c r="E421" s="16" t="s">
        <v>9</v>
      </c>
    </row>
    <row r="422" spans="1:5" x14ac:dyDescent="0.3">
      <c r="A422" s="15">
        <v>22</v>
      </c>
      <c r="B422" s="5"/>
      <c r="C422" s="19">
        <v>18</v>
      </c>
      <c r="D422" s="18">
        <v>30</v>
      </c>
      <c r="E422" s="16" t="s">
        <v>9</v>
      </c>
    </row>
    <row r="423" spans="1:5" x14ac:dyDescent="0.3">
      <c r="A423" s="15">
        <v>22</v>
      </c>
      <c r="B423" s="5"/>
      <c r="C423" s="19">
        <v>12</v>
      </c>
      <c r="D423" s="18">
        <v>50</v>
      </c>
      <c r="E423" s="16" t="s">
        <v>9</v>
      </c>
    </row>
    <row r="424" spans="1:5" x14ac:dyDescent="0.3">
      <c r="A424" s="15">
        <v>22</v>
      </c>
      <c r="B424" s="5"/>
      <c r="C424" s="19">
        <v>21</v>
      </c>
      <c r="D424" s="18">
        <v>30</v>
      </c>
      <c r="E424" s="16" t="s">
        <v>9</v>
      </c>
    </row>
    <row r="425" spans="1:5" x14ac:dyDescent="0.3">
      <c r="A425" s="15">
        <v>22</v>
      </c>
      <c r="B425" s="5"/>
      <c r="C425" s="19">
        <v>17</v>
      </c>
      <c r="D425" s="18">
        <v>50</v>
      </c>
      <c r="E425" s="16" t="s">
        <v>9</v>
      </c>
    </row>
    <row r="426" spans="1:5" x14ac:dyDescent="0.3">
      <c r="A426" s="15">
        <v>22</v>
      </c>
      <c r="B426" s="5"/>
      <c r="C426" s="19">
        <v>71</v>
      </c>
      <c r="D426" s="18">
        <v>30</v>
      </c>
      <c r="E426" s="16" t="s">
        <v>9</v>
      </c>
    </row>
    <row r="427" spans="1:5" x14ac:dyDescent="0.3">
      <c r="A427" s="15">
        <v>22</v>
      </c>
      <c r="B427" s="5"/>
      <c r="C427" s="19">
        <v>52</v>
      </c>
      <c r="D427" s="18">
        <v>100</v>
      </c>
      <c r="E427" s="16" t="s">
        <v>9</v>
      </c>
    </row>
    <row r="428" spans="1:5" x14ac:dyDescent="0.3">
      <c r="A428" s="15">
        <v>22</v>
      </c>
      <c r="B428" s="5"/>
      <c r="C428" s="19">
        <v>25</v>
      </c>
      <c r="D428" s="18">
        <v>30</v>
      </c>
      <c r="E428" s="16" t="s">
        <v>9</v>
      </c>
    </row>
    <row r="429" spans="1:5" x14ac:dyDescent="0.3">
      <c r="A429" s="15">
        <v>22</v>
      </c>
      <c r="B429" s="5"/>
      <c r="C429" s="9">
        <v>81</v>
      </c>
      <c r="D429" s="5">
        <v>50</v>
      </c>
      <c r="E429" s="16" t="s">
        <v>10</v>
      </c>
    </row>
    <row r="430" spans="1:5" x14ac:dyDescent="0.3">
      <c r="A430" s="15">
        <v>22</v>
      </c>
      <c r="B430" s="5"/>
      <c r="C430" s="9">
        <v>18</v>
      </c>
      <c r="D430" s="18">
        <v>30</v>
      </c>
      <c r="E430" s="16" t="s">
        <v>10</v>
      </c>
    </row>
    <row r="431" spans="1:5" x14ac:dyDescent="0.3">
      <c r="A431" s="15">
        <v>22</v>
      </c>
      <c r="B431" s="5"/>
      <c r="C431" s="9">
        <v>12</v>
      </c>
      <c r="D431" s="18">
        <v>50</v>
      </c>
      <c r="E431" s="16" t="s">
        <v>10</v>
      </c>
    </row>
    <row r="432" spans="1:5" x14ac:dyDescent="0.3">
      <c r="A432" s="15">
        <v>22</v>
      </c>
      <c r="B432" s="5"/>
      <c r="C432" s="9">
        <v>21</v>
      </c>
      <c r="D432" s="18">
        <v>30</v>
      </c>
      <c r="E432" s="16" t="s">
        <v>10</v>
      </c>
    </row>
    <row r="433" spans="1:5" x14ac:dyDescent="0.3">
      <c r="A433" s="15">
        <v>22</v>
      </c>
      <c r="B433" s="5"/>
      <c r="C433" s="9">
        <v>17</v>
      </c>
      <c r="D433" s="18">
        <v>50</v>
      </c>
      <c r="E433" s="16" t="s">
        <v>10</v>
      </c>
    </row>
    <row r="434" spans="1:5" x14ac:dyDescent="0.3">
      <c r="A434" s="15">
        <v>22</v>
      </c>
      <c r="B434" s="5"/>
      <c r="C434" s="9">
        <v>71</v>
      </c>
      <c r="D434" s="18">
        <v>30</v>
      </c>
      <c r="E434" s="16" t="s">
        <v>10</v>
      </c>
    </row>
    <row r="435" spans="1:5" x14ac:dyDescent="0.3">
      <c r="A435" s="15">
        <v>22</v>
      </c>
      <c r="B435" s="5"/>
      <c r="C435" s="9">
        <v>52</v>
      </c>
      <c r="D435" s="18">
        <v>100</v>
      </c>
      <c r="E435" s="16" t="s">
        <v>10</v>
      </c>
    </row>
    <row r="436" spans="1:5" x14ac:dyDescent="0.3">
      <c r="A436" s="15">
        <v>22</v>
      </c>
      <c r="B436" s="5"/>
      <c r="C436" s="19">
        <v>25</v>
      </c>
      <c r="D436" s="18">
        <v>30</v>
      </c>
      <c r="E436" s="16" t="s">
        <v>10</v>
      </c>
    </row>
    <row r="437" spans="1:5" x14ac:dyDescent="0.3">
      <c r="A437" s="17">
        <v>23</v>
      </c>
      <c r="B437" s="18"/>
      <c r="C437" s="19">
        <v>29</v>
      </c>
      <c r="D437" s="18">
        <v>50</v>
      </c>
      <c r="E437" s="20" t="s">
        <v>9</v>
      </c>
    </row>
    <row r="438" spans="1:5" x14ac:dyDescent="0.3">
      <c r="A438" s="17">
        <v>23</v>
      </c>
      <c r="B438" s="18"/>
      <c r="C438" s="19">
        <v>92</v>
      </c>
      <c r="D438" s="18">
        <v>50</v>
      </c>
      <c r="E438" s="20" t="s">
        <v>9</v>
      </c>
    </row>
    <row r="439" spans="1:5" x14ac:dyDescent="0.3">
      <c r="A439" s="17">
        <v>23</v>
      </c>
      <c r="B439" s="18"/>
      <c r="C439" s="9">
        <v>29</v>
      </c>
      <c r="D439" s="18">
        <v>50</v>
      </c>
      <c r="E439" s="16" t="s">
        <v>10</v>
      </c>
    </row>
    <row r="440" spans="1:5" x14ac:dyDescent="0.3">
      <c r="A440" s="17">
        <v>23</v>
      </c>
      <c r="B440" s="18"/>
      <c r="C440" s="19">
        <v>92</v>
      </c>
      <c r="D440" s="18">
        <v>50</v>
      </c>
      <c r="E440" s="16" t="s">
        <v>10</v>
      </c>
    </row>
    <row r="441" spans="1:5" x14ac:dyDescent="0.3">
      <c r="A441" s="17">
        <v>7</v>
      </c>
      <c r="B441" s="18"/>
      <c r="C441" s="19">
        <v>51</v>
      </c>
      <c r="D441" s="19">
        <v>30</v>
      </c>
      <c r="E441" s="20" t="s">
        <v>9</v>
      </c>
    </row>
    <row r="442" spans="1:5" x14ac:dyDescent="0.3">
      <c r="A442" s="17">
        <v>7</v>
      </c>
      <c r="B442" s="18"/>
      <c r="C442" s="19">
        <v>15</v>
      </c>
      <c r="D442" s="19">
        <v>30</v>
      </c>
      <c r="E442" s="20" t="s">
        <v>9</v>
      </c>
    </row>
    <row r="443" spans="1:5" x14ac:dyDescent="0.3">
      <c r="A443" s="17">
        <v>7</v>
      </c>
      <c r="B443" s="18"/>
      <c r="C443" s="19">
        <v>84</v>
      </c>
      <c r="D443" s="19">
        <v>30</v>
      </c>
      <c r="E443" s="20" t="s">
        <v>9</v>
      </c>
    </row>
    <row r="444" spans="1:5" x14ac:dyDescent="0.3">
      <c r="A444" s="17">
        <v>7</v>
      </c>
      <c r="B444" s="18"/>
      <c r="C444" s="19">
        <v>48</v>
      </c>
      <c r="D444" s="19">
        <v>30</v>
      </c>
      <c r="E444" s="20" t="s">
        <v>9</v>
      </c>
    </row>
    <row r="445" spans="1:5" x14ac:dyDescent="0.3">
      <c r="A445" s="17">
        <v>7</v>
      </c>
      <c r="B445" s="18"/>
      <c r="C445" s="19">
        <v>69</v>
      </c>
      <c r="D445" s="19">
        <v>50</v>
      </c>
      <c r="E445" s="20" t="s">
        <v>9</v>
      </c>
    </row>
    <row r="446" spans="1:5" x14ac:dyDescent="0.3">
      <c r="A446" s="17">
        <v>7</v>
      </c>
      <c r="B446" s="18"/>
      <c r="C446" s="19">
        <v>96</v>
      </c>
      <c r="D446" s="19">
        <v>50</v>
      </c>
      <c r="E446" s="20" t="s">
        <v>9</v>
      </c>
    </row>
    <row r="447" spans="1:5" x14ac:dyDescent="0.3">
      <c r="A447" s="17">
        <v>7</v>
      </c>
      <c r="B447" s="18"/>
      <c r="C447" s="19">
        <v>13</v>
      </c>
      <c r="D447" s="19">
        <v>50</v>
      </c>
      <c r="E447" s="20" t="s">
        <v>9</v>
      </c>
    </row>
    <row r="448" spans="1:5" x14ac:dyDescent="0.3">
      <c r="A448" s="17">
        <v>7</v>
      </c>
      <c r="B448" s="18"/>
      <c r="C448" s="19">
        <v>31</v>
      </c>
      <c r="D448" s="19">
        <v>50</v>
      </c>
      <c r="E448" s="20" t="s">
        <v>9</v>
      </c>
    </row>
    <row r="449" spans="1:5" x14ac:dyDescent="0.3">
      <c r="A449" s="17">
        <v>7</v>
      </c>
      <c r="B449" s="18"/>
      <c r="C449" s="19">
        <v>23</v>
      </c>
      <c r="D449" s="19">
        <v>30</v>
      </c>
      <c r="E449" s="20" t="s">
        <v>9</v>
      </c>
    </row>
    <row r="450" spans="1:5" x14ac:dyDescent="0.3">
      <c r="A450" s="17">
        <v>7</v>
      </c>
      <c r="B450" s="18"/>
      <c r="C450" s="19">
        <v>32</v>
      </c>
      <c r="D450" s="19">
        <v>30</v>
      </c>
      <c r="E450" s="20" t="s">
        <v>9</v>
      </c>
    </row>
    <row r="451" spans="1:5" x14ac:dyDescent="0.3">
      <c r="A451" s="17">
        <v>7</v>
      </c>
      <c r="B451" s="18"/>
      <c r="C451" s="19">
        <v>73</v>
      </c>
      <c r="D451" s="19">
        <v>30</v>
      </c>
      <c r="E451" s="20" t="s">
        <v>9</v>
      </c>
    </row>
    <row r="452" spans="1:5" x14ac:dyDescent="0.3">
      <c r="A452" s="17">
        <v>7</v>
      </c>
      <c r="B452" s="18"/>
      <c r="C452" s="19">
        <v>37</v>
      </c>
      <c r="D452" s="19">
        <v>30</v>
      </c>
      <c r="E452" s="20" t="s">
        <v>9</v>
      </c>
    </row>
    <row r="453" spans="1:5" x14ac:dyDescent="0.3">
      <c r="A453" s="17">
        <v>7</v>
      </c>
      <c r="B453" s="18"/>
      <c r="C453" s="19">
        <v>86</v>
      </c>
      <c r="D453" s="19">
        <v>50</v>
      </c>
      <c r="E453" s="20" t="s">
        <v>9</v>
      </c>
    </row>
    <row r="454" spans="1:5" x14ac:dyDescent="0.3">
      <c r="A454" s="17">
        <v>7</v>
      </c>
      <c r="B454" s="18"/>
      <c r="C454" s="19">
        <v>68</v>
      </c>
      <c r="D454" s="19">
        <v>50</v>
      </c>
      <c r="E454" s="20" t="s">
        <v>9</v>
      </c>
    </row>
    <row r="455" spans="1:5" x14ac:dyDescent="0.3">
      <c r="A455" s="17">
        <v>7</v>
      </c>
      <c r="B455" s="18"/>
      <c r="C455" s="19">
        <v>89</v>
      </c>
      <c r="D455" s="19">
        <v>50</v>
      </c>
      <c r="E455" s="20" t="s">
        <v>9</v>
      </c>
    </row>
    <row r="456" spans="1:5" x14ac:dyDescent="0.3">
      <c r="A456" s="17">
        <v>7</v>
      </c>
      <c r="B456" s="18"/>
      <c r="C456" s="19">
        <v>98</v>
      </c>
      <c r="D456" s="19">
        <v>50</v>
      </c>
      <c r="E456" s="20" t="s">
        <v>9</v>
      </c>
    </row>
    <row r="457" spans="1:5" x14ac:dyDescent="0.3">
      <c r="A457" s="17">
        <v>7</v>
      </c>
      <c r="B457" s="18"/>
      <c r="C457" s="19">
        <v>11</v>
      </c>
      <c r="D457" s="19">
        <v>30</v>
      </c>
      <c r="E457" s="20" t="s">
        <v>9</v>
      </c>
    </row>
    <row r="458" spans="1:5" x14ac:dyDescent="0.3">
      <c r="A458" s="17">
        <v>7</v>
      </c>
      <c r="B458" s="18"/>
      <c r="C458" s="19">
        <v>66</v>
      </c>
      <c r="D458" s="19">
        <v>50</v>
      </c>
      <c r="E458" s="20" t="s">
        <v>9</v>
      </c>
    </row>
    <row r="459" spans="1:5" x14ac:dyDescent="0.3">
      <c r="A459" s="17">
        <v>7</v>
      </c>
      <c r="B459" s="18"/>
      <c r="C459" s="9">
        <v>51</v>
      </c>
      <c r="D459" s="19">
        <v>30</v>
      </c>
      <c r="E459" s="16" t="s">
        <v>10</v>
      </c>
    </row>
    <row r="460" spans="1:5" x14ac:dyDescent="0.3">
      <c r="A460" s="17">
        <v>7</v>
      </c>
      <c r="B460" s="18"/>
      <c r="C460" s="9">
        <v>15</v>
      </c>
      <c r="D460" s="19">
        <v>30</v>
      </c>
      <c r="E460" s="16" t="s">
        <v>10</v>
      </c>
    </row>
    <row r="461" spans="1:5" x14ac:dyDescent="0.3">
      <c r="A461" s="17">
        <v>7</v>
      </c>
      <c r="B461" s="18"/>
      <c r="C461" s="9">
        <v>84</v>
      </c>
      <c r="D461" s="19">
        <v>30</v>
      </c>
      <c r="E461" s="16" t="s">
        <v>10</v>
      </c>
    </row>
    <row r="462" spans="1:5" x14ac:dyDescent="0.3">
      <c r="A462" s="17">
        <v>7</v>
      </c>
      <c r="B462" s="18"/>
      <c r="C462" s="9">
        <v>48</v>
      </c>
      <c r="D462" s="19">
        <v>30</v>
      </c>
      <c r="E462" s="16" t="s">
        <v>10</v>
      </c>
    </row>
    <row r="463" spans="1:5" x14ac:dyDescent="0.3">
      <c r="A463" s="17">
        <v>7</v>
      </c>
      <c r="B463" s="18"/>
      <c r="C463" s="9">
        <v>69</v>
      </c>
      <c r="D463" s="19">
        <v>50</v>
      </c>
      <c r="E463" s="16" t="s">
        <v>10</v>
      </c>
    </row>
    <row r="464" spans="1:5" x14ac:dyDescent="0.3">
      <c r="A464" s="17">
        <v>7</v>
      </c>
      <c r="B464" s="18"/>
      <c r="C464" s="9">
        <v>96</v>
      </c>
      <c r="D464" s="19">
        <v>50</v>
      </c>
      <c r="E464" s="16" t="s">
        <v>10</v>
      </c>
    </row>
    <row r="465" spans="1:5" x14ac:dyDescent="0.3">
      <c r="A465" s="17">
        <v>7</v>
      </c>
      <c r="B465" s="18"/>
      <c r="C465" s="9">
        <v>13</v>
      </c>
      <c r="D465" s="19">
        <v>50</v>
      </c>
      <c r="E465" s="16" t="s">
        <v>10</v>
      </c>
    </row>
    <row r="466" spans="1:5" x14ac:dyDescent="0.3">
      <c r="A466" s="17">
        <v>7</v>
      </c>
      <c r="B466" s="18"/>
      <c r="C466" s="9">
        <v>31</v>
      </c>
      <c r="D466" s="19">
        <v>50</v>
      </c>
      <c r="E466" s="16" t="s">
        <v>10</v>
      </c>
    </row>
    <row r="467" spans="1:5" x14ac:dyDescent="0.3">
      <c r="A467" s="17">
        <v>7</v>
      </c>
      <c r="B467" s="18"/>
      <c r="C467" s="9">
        <v>23</v>
      </c>
      <c r="D467" s="19">
        <v>30</v>
      </c>
      <c r="E467" s="16" t="s">
        <v>10</v>
      </c>
    </row>
    <row r="468" spans="1:5" x14ac:dyDescent="0.3">
      <c r="A468" s="17">
        <v>7</v>
      </c>
      <c r="B468" s="18"/>
      <c r="C468" s="9">
        <v>32</v>
      </c>
      <c r="D468" s="19">
        <v>30</v>
      </c>
      <c r="E468" s="16" t="s">
        <v>10</v>
      </c>
    </row>
    <row r="469" spans="1:5" x14ac:dyDescent="0.3">
      <c r="A469" s="17">
        <v>7</v>
      </c>
      <c r="B469" s="18"/>
      <c r="C469" s="9">
        <v>73</v>
      </c>
      <c r="D469" s="19">
        <v>30</v>
      </c>
      <c r="E469" s="16" t="s">
        <v>10</v>
      </c>
    </row>
    <row r="470" spans="1:5" x14ac:dyDescent="0.3">
      <c r="A470" s="17">
        <v>7</v>
      </c>
      <c r="B470" s="18"/>
      <c r="C470" s="9">
        <v>37</v>
      </c>
      <c r="D470" s="19">
        <v>30</v>
      </c>
      <c r="E470" s="16" t="s">
        <v>10</v>
      </c>
    </row>
    <row r="471" spans="1:5" x14ac:dyDescent="0.3">
      <c r="A471" s="17">
        <v>7</v>
      </c>
      <c r="B471" s="18"/>
      <c r="C471" s="9">
        <v>86</v>
      </c>
      <c r="D471" s="19">
        <v>50</v>
      </c>
      <c r="E471" s="16" t="s">
        <v>10</v>
      </c>
    </row>
    <row r="472" spans="1:5" x14ac:dyDescent="0.3">
      <c r="A472" s="17">
        <v>7</v>
      </c>
      <c r="B472" s="18"/>
      <c r="C472" s="9">
        <v>68</v>
      </c>
      <c r="D472" s="19">
        <v>50</v>
      </c>
      <c r="E472" s="16" t="s">
        <v>10</v>
      </c>
    </row>
    <row r="473" spans="1:5" x14ac:dyDescent="0.3">
      <c r="A473" s="17">
        <v>7</v>
      </c>
      <c r="B473" s="18"/>
      <c r="C473" s="9">
        <v>89</v>
      </c>
      <c r="D473" s="19">
        <v>50</v>
      </c>
      <c r="E473" s="16" t="s">
        <v>10</v>
      </c>
    </row>
    <row r="474" spans="1:5" x14ac:dyDescent="0.3">
      <c r="A474" s="17">
        <v>7</v>
      </c>
      <c r="B474" s="18"/>
      <c r="C474" s="9">
        <v>98</v>
      </c>
      <c r="D474" s="19">
        <v>50</v>
      </c>
      <c r="E474" s="16" t="s">
        <v>10</v>
      </c>
    </row>
    <row r="475" spans="1:5" x14ac:dyDescent="0.3">
      <c r="A475" s="17">
        <v>7</v>
      </c>
      <c r="B475" s="18"/>
      <c r="C475" s="9">
        <v>11</v>
      </c>
      <c r="D475" s="19">
        <v>30</v>
      </c>
      <c r="E475" s="16" t="s">
        <v>10</v>
      </c>
    </row>
    <row r="476" spans="1:5" x14ac:dyDescent="0.3">
      <c r="A476" s="17">
        <v>7</v>
      </c>
      <c r="B476" s="18"/>
      <c r="C476" s="19">
        <v>66</v>
      </c>
      <c r="D476" s="19">
        <v>50</v>
      </c>
      <c r="E476" s="16" t="s">
        <v>10</v>
      </c>
    </row>
    <row r="477" spans="1:5" x14ac:dyDescent="0.3">
      <c r="A477" s="17">
        <v>7</v>
      </c>
      <c r="B477" s="18"/>
      <c r="C477" s="19">
        <v>25</v>
      </c>
      <c r="D477" s="18">
        <v>150</v>
      </c>
      <c r="E477" s="20" t="s">
        <v>9</v>
      </c>
    </row>
    <row r="478" spans="1:5" x14ac:dyDescent="0.3">
      <c r="A478" s="17">
        <v>7</v>
      </c>
      <c r="B478" s="18"/>
      <c r="C478" s="19">
        <v>52</v>
      </c>
      <c r="D478" s="18">
        <v>150</v>
      </c>
      <c r="E478" s="20" t="s">
        <v>9</v>
      </c>
    </row>
    <row r="479" spans="1:5" x14ac:dyDescent="0.3">
      <c r="A479" s="17">
        <v>7</v>
      </c>
      <c r="B479" s="18"/>
      <c r="C479" s="19">
        <v>25</v>
      </c>
      <c r="D479" s="18">
        <v>150</v>
      </c>
      <c r="E479" s="20" t="s">
        <v>10</v>
      </c>
    </row>
    <row r="480" spans="1:5" x14ac:dyDescent="0.3">
      <c r="A480" s="17">
        <v>7</v>
      </c>
      <c r="B480" s="18"/>
      <c r="C480" s="19">
        <v>52</v>
      </c>
      <c r="D480" s="18">
        <v>150</v>
      </c>
      <c r="E480" s="20" t="s">
        <v>10</v>
      </c>
    </row>
    <row r="481" spans="1:5" x14ac:dyDescent="0.3">
      <c r="A481" s="17">
        <v>17</v>
      </c>
      <c r="B481" s="18"/>
      <c r="C481" s="19">
        <v>39</v>
      </c>
      <c r="D481" s="18">
        <v>150</v>
      </c>
      <c r="E481" s="20" t="s">
        <v>9</v>
      </c>
    </row>
    <row r="482" spans="1:5" x14ac:dyDescent="0.3">
      <c r="A482" s="17">
        <v>17</v>
      </c>
      <c r="B482" s="18"/>
      <c r="C482" s="19">
        <v>93</v>
      </c>
      <c r="D482" s="18">
        <v>150</v>
      </c>
      <c r="E482" s="20" t="s">
        <v>9</v>
      </c>
    </row>
    <row r="483" spans="1:5" x14ac:dyDescent="0.3">
      <c r="A483" s="17">
        <v>17</v>
      </c>
      <c r="B483" s="18"/>
      <c r="C483" s="19">
        <v>56</v>
      </c>
      <c r="D483" s="18">
        <v>100</v>
      </c>
      <c r="E483" s="20" t="s">
        <v>9</v>
      </c>
    </row>
    <row r="484" spans="1:5" x14ac:dyDescent="0.3">
      <c r="A484" s="17">
        <v>17</v>
      </c>
      <c r="B484" s="18"/>
      <c r="C484" s="19">
        <v>65</v>
      </c>
      <c r="D484" s="18">
        <v>100</v>
      </c>
      <c r="E484" s="20" t="s">
        <v>9</v>
      </c>
    </row>
    <row r="485" spans="1:5" x14ac:dyDescent="0.3">
      <c r="A485" s="17">
        <v>17</v>
      </c>
      <c r="B485" s="18"/>
      <c r="C485" s="19">
        <v>29</v>
      </c>
      <c r="D485" s="18">
        <v>50</v>
      </c>
      <c r="E485" s="20" t="s">
        <v>9</v>
      </c>
    </row>
    <row r="486" spans="1:5" x14ac:dyDescent="0.3">
      <c r="A486" s="17">
        <v>17</v>
      </c>
      <c r="B486" s="18"/>
      <c r="C486" s="19">
        <v>92</v>
      </c>
      <c r="D486" s="18">
        <v>50</v>
      </c>
      <c r="E486" s="20" t="s">
        <v>9</v>
      </c>
    </row>
    <row r="487" spans="1:5" x14ac:dyDescent="0.3">
      <c r="A487" s="17">
        <v>17</v>
      </c>
      <c r="B487" s="18"/>
      <c r="C487" s="9">
        <v>39</v>
      </c>
      <c r="D487" s="5">
        <v>150</v>
      </c>
      <c r="E487" s="16" t="s">
        <v>10</v>
      </c>
    </row>
    <row r="488" spans="1:5" x14ac:dyDescent="0.3">
      <c r="A488" s="17">
        <v>17</v>
      </c>
      <c r="B488" s="18"/>
      <c r="C488" s="9">
        <v>93</v>
      </c>
      <c r="D488" s="5">
        <v>150</v>
      </c>
      <c r="E488" s="16" t="s">
        <v>10</v>
      </c>
    </row>
    <row r="489" spans="1:5" x14ac:dyDescent="0.3">
      <c r="A489" s="17">
        <v>17</v>
      </c>
      <c r="B489" s="18"/>
      <c r="C489" s="9">
        <v>56</v>
      </c>
      <c r="D489" s="5">
        <v>100</v>
      </c>
      <c r="E489" s="16" t="s">
        <v>10</v>
      </c>
    </row>
    <row r="490" spans="1:5" x14ac:dyDescent="0.3">
      <c r="A490" s="17">
        <v>17</v>
      </c>
      <c r="B490" s="18"/>
      <c r="C490" s="9">
        <v>65</v>
      </c>
      <c r="D490" s="5">
        <v>100</v>
      </c>
      <c r="E490" s="16" t="s">
        <v>10</v>
      </c>
    </row>
    <row r="491" spans="1:5" x14ac:dyDescent="0.3">
      <c r="A491" s="17">
        <v>17</v>
      </c>
      <c r="B491" s="18"/>
      <c r="C491" s="9">
        <v>29</v>
      </c>
      <c r="D491" s="5">
        <v>50</v>
      </c>
      <c r="E491" s="16" t="s">
        <v>10</v>
      </c>
    </row>
    <row r="492" spans="1:5" x14ac:dyDescent="0.3">
      <c r="A492" s="17">
        <v>17</v>
      </c>
      <c r="B492" s="18"/>
      <c r="C492" s="19">
        <v>92</v>
      </c>
      <c r="D492" s="18">
        <v>50</v>
      </c>
      <c r="E492" s="16" t="s">
        <v>10</v>
      </c>
    </row>
    <row r="493" spans="1:5" x14ac:dyDescent="0.3">
      <c r="A493" s="17">
        <v>17</v>
      </c>
      <c r="B493" s="18"/>
      <c r="C493" s="19">
        <v>81</v>
      </c>
      <c r="D493" s="18">
        <v>50</v>
      </c>
      <c r="E493" s="20" t="s">
        <v>9</v>
      </c>
    </row>
    <row r="494" spans="1:5" x14ac:dyDescent="0.3">
      <c r="A494" s="17">
        <v>17</v>
      </c>
      <c r="B494" s="18"/>
      <c r="C494" s="19">
        <v>18</v>
      </c>
      <c r="D494" s="18">
        <v>50</v>
      </c>
      <c r="E494" s="20" t="s">
        <v>9</v>
      </c>
    </row>
    <row r="495" spans="1:5" x14ac:dyDescent="0.3">
      <c r="A495" s="17">
        <v>17</v>
      </c>
      <c r="B495" s="18"/>
      <c r="C495" s="9">
        <v>81</v>
      </c>
      <c r="D495" s="18">
        <v>50</v>
      </c>
      <c r="E495" s="16" t="s">
        <v>10</v>
      </c>
    </row>
    <row r="496" spans="1:5" x14ac:dyDescent="0.3">
      <c r="A496" s="17">
        <v>17</v>
      </c>
      <c r="B496" s="18"/>
      <c r="C496" s="19">
        <v>18</v>
      </c>
      <c r="D496" s="18">
        <v>50</v>
      </c>
      <c r="E496" s="16" t="s">
        <v>10</v>
      </c>
    </row>
    <row r="497" spans="1:5" x14ac:dyDescent="0.3">
      <c r="A497" s="17">
        <v>17</v>
      </c>
      <c r="B497" s="18"/>
      <c r="C497" s="19">
        <v>93</v>
      </c>
      <c r="D497" s="18">
        <v>50</v>
      </c>
      <c r="E497" s="20" t="s">
        <v>9</v>
      </c>
    </row>
    <row r="498" spans="1:5" x14ac:dyDescent="0.3">
      <c r="A498" s="17">
        <v>17</v>
      </c>
      <c r="B498" s="18"/>
      <c r="C498" s="19">
        <v>39</v>
      </c>
      <c r="D498" s="18">
        <v>50</v>
      </c>
      <c r="E498" s="20" t="s">
        <v>9</v>
      </c>
    </row>
    <row r="499" spans="1:5" x14ac:dyDescent="0.3">
      <c r="A499" s="17">
        <v>17</v>
      </c>
      <c r="B499" s="18"/>
      <c r="C499" s="19">
        <v>42</v>
      </c>
      <c r="D499" s="18">
        <v>50</v>
      </c>
      <c r="E499" s="20" t="s">
        <v>9</v>
      </c>
    </row>
    <row r="500" spans="1:5" x14ac:dyDescent="0.3">
      <c r="A500" s="17">
        <v>17</v>
      </c>
      <c r="B500" s="18"/>
      <c r="C500" s="19">
        <v>24</v>
      </c>
      <c r="D500" s="18">
        <v>50</v>
      </c>
      <c r="E500" s="20" t="s">
        <v>9</v>
      </c>
    </row>
    <row r="501" spans="1:5" x14ac:dyDescent="0.3">
      <c r="A501" s="17">
        <v>17</v>
      </c>
      <c r="B501" s="18"/>
      <c r="C501" s="19">
        <v>16</v>
      </c>
      <c r="D501" s="18">
        <v>50</v>
      </c>
      <c r="E501" s="20" t="s">
        <v>9</v>
      </c>
    </row>
    <row r="502" spans="1:5" x14ac:dyDescent="0.3">
      <c r="A502" s="17">
        <v>17</v>
      </c>
      <c r="B502" s="18"/>
      <c r="C502" s="19">
        <v>61</v>
      </c>
      <c r="D502" s="18">
        <v>50</v>
      </c>
      <c r="E502" s="20" t="s">
        <v>9</v>
      </c>
    </row>
    <row r="503" spans="1:5" x14ac:dyDescent="0.3">
      <c r="A503" s="17">
        <v>17</v>
      </c>
      <c r="B503" s="18"/>
      <c r="C503" s="9">
        <v>93</v>
      </c>
      <c r="D503" s="18">
        <v>50</v>
      </c>
      <c r="E503" s="20" t="s">
        <v>10</v>
      </c>
    </row>
    <row r="504" spans="1:5" x14ac:dyDescent="0.3">
      <c r="A504" s="17">
        <v>17</v>
      </c>
      <c r="B504" s="18"/>
      <c r="C504" s="9">
        <v>39</v>
      </c>
      <c r="D504" s="18">
        <v>50</v>
      </c>
      <c r="E504" s="20" t="s">
        <v>10</v>
      </c>
    </row>
    <row r="505" spans="1:5" x14ac:dyDescent="0.3">
      <c r="A505" s="17">
        <v>17</v>
      </c>
      <c r="B505" s="18"/>
      <c r="C505" s="9">
        <v>42</v>
      </c>
      <c r="D505" s="18">
        <v>50</v>
      </c>
      <c r="E505" s="20" t="s">
        <v>10</v>
      </c>
    </row>
    <row r="506" spans="1:5" x14ac:dyDescent="0.3">
      <c r="A506" s="17">
        <v>17</v>
      </c>
      <c r="B506" s="18"/>
      <c r="C506" s="9">
        <v>24</v>
      </c>
      <c r="D506" s="18">
        <v>50</v>
      </c>
      <c r="E506" s="20" t="s">
        <v>10</v>
      </c>
    </row>
    <row r="507" spans="1:5" x14ac:dyDescent="0.3">
      <c r="A507" s="17">
        <v>17</v>
      </c>
      <c r="B507" s="18"/>
      <c r="C507" s="9">
        <v>16</v>
      </c>
      <c r="D507" s="18">
        <v>50</v>
      </c>
      <c r="E507" s="20" t="s">
        <v>10</v>
      </c>
    </row>
    <row r="508" spans="1:5" x14ac:dyDescent="0.3">
      <c r="A508" s="17">
        <v>17</v>
      </c>
      <c r="B508" s="18"/>
      <c r="C508" s="19">
        <v>61</v>
      </c>
      <c r="D508" s="18">
        <v>50</v>
      </c>
      <c r="E508" s="20" t="s">
        <v>10</v>
      </c>
    </row>
    <row r="509" spans="1:5" x14ac:dyDescent="0.3">
      <c r="A509" s="17">
        <v>17</v>
      </c>
      <c r="B509" s="18"/>
      <c r="C509" s="19">
        <v>39</v>
      </c>
      <c r="D509" s="18">
        <v>50</v>
      </c>
      <c r="E509" s="20" t="s">
        <v>9</v>
      </c>
    </row>
    <row r="510" spans="1:5" x14ac:dyDescent="0.3">
      <c r="A510" s="17">
        <v>17</v>
      </c>
      <c r="B510" s="18"/>
      <c r="C510" s="19">
        <v>93</v>
      </c>
      <c r="D510" s="18">
        <v>50</v>
      </c>
      <c r="E510" s="20" t="s">
        <v>9</v>
      </c>
    </row>
    <row r="511" spans="1:5" x14ac:dyDescent="0.3">
      <c r="A511" s="17">
        <v>17</v>
      </c>
      <c r="B511" s="18"/>
      <c r="C511" s="9">
        <v>39</v>
      </c>
      <c r="D511" s="18">
        <v>50</v>
      </c>
      <c r="E511" s="16" t="s">
        <v>10</v>
      </c>
    </row>
    <row r="512" spans="1:5" x14ac:dyDescent="0.3">
      <c r="A512" s="17">
        <v>17</v>
      </c>
      <c r="B512" s="18"/>
      <c r="C512" s="19">
        <v>93</v>
      </c>
      <c r="D512" s="18">
        <v>50</v>
      </c>
      <c r="E512" s="16" t="s">
        <v>10</v>
      </c>
    </row>
    <row r="513" spans="1:5" x14ac:dyDescent="0.3">
      <c r="A513" s="17">
        <v>17</v>
      </c>
      <c r="B513" s="18"/>
      <c r="C513" s="19">
        <v>30</v>
      </c>
      <c r="D513" s="18">
        <v>20</v>
      </c>
      <c r="E513" s="20" t="s">
        <v>9</v>
      </c>
    </row>
    <row r="514" spans="1:5" x14ac:dyDescent="0.3">
      <c r="A514" s="17">
        <v>17</v>
      </c>
      <c r="B514" s="18"/>
      <c r="C514" s="19">
        <v>30</v>
      </c>
      <c r="D514" s="18">
        <v>20</v>
      </c>
      <c r="E514" s="20" t="s">
        <v>10</v>
      </c>
    </row>
    <row r="515" spans="1:5" x14ac:dyDescent="0.3">
      <c r="A515" s="17">
        <v>17</v>
      </c>
      <c r="B515" s="18"/>
      <c r="C515" s="19">
        <v>13</v>
      </c>
      <c r="D515" s="18">
        <v>10</v>
      </c>
      <c r="E515" s="20" t="s">
        <v>9</v>
      </c>
    </row>
    <row r="516" spans="1:5" x14ac:dyDescent="0.3">
      <c r="A516" s="17">
        <v>17</v>
      </c>
      <c r="B516" s="18"/>
      <c r="C516" s="19">
        <v>31</v>
      </c>
      <c r="D516" s="18">
        <v>10</v>
      </c>
      <c r="E516" s="20" t="s">
        <v>9</v>
      </c>
    </row>
    <row r="517" spans="1:5" x14ac:dyDescent="0.3">
      <c r="A517" s="17">
        <v>17</v>
      </c>
      <c r="B517" s="18"/>
      <c r="C517" s="19">
        <v>79</v>
      </c>
      <c r="D517" s="18">
        <v>10</v>
      </c>
      <c r="E517" s="20" t="s">
        <v>9</v>
      </c>
    </row>
    <row r="518" spans="1:5" x14ac:dyDescent="0.3">
      <c r="A518" s="17">
        <v>17</v>
      </c>
      <c r="B518" s="18"/>
      <c r="C518" s="19">
        <v>97</v>
      </c>
      <c r="D518" s="18">
        <v>10</v>
      </c>
      <c r="E518" s="20" t="s">
        <v>9</v>
      </c>
    </row>
    <row r="519" spans="1:5" x14ac:dyDescent="0.3">
      <c r="A519" s="17">
        <v>17</v>
      </c>
      <c r="B519" s="18"/>
      <c r="C519" s="9">
        <v>13</v>
      </c>
      <c r="D519" s="18">
        <v>10</v>
      </c>
      <c r="E519" s="16" t="s">
        <v>10</v>
      </c>
    </row>
    <row r="520" spans="1:5" x14ac:dyDescent="0.3">
      <c r="A520" s="17">
        <v>17</v>
      </c>
      <c r="B520" s="18"/>
      <c r="C520" s="9">
        <v>31</v>
      </c>
      <c r="D520" s="18">
        <v>10</v>
      </c>
      <c r="E520" s="16" t="s">
        <v>10</v>
      </c>
    </row>
    <row r="521" spans="1:5" x14ac:dyDescent="0.3">
      <c r="A521" s="17">
        <v>17</v>
      </c>
      <c r="B521" s="18"/>
      <c r="C521" s="9">
        <v>79</v>
      </c>
      <c r="D521" s="18">
        <v>10</v>
      </c>
      <c r="E521" s="16" t="s">
        <v>10</v>
      </c>
    </row>
    <row r="522" spans="1:5" x14ac:dyDescent="0.3">
      <c r="A522" s="17">
        <v>17</v>
      </c>
      <c r="B522" s="18"/>
      <c r="C522" s="19">
        <v>97</v>
      </c>
      <c r="D522" s="18">
        <v>10</v>
      </c>
      <c r="E522" s="16" t="s">
        <v>10</v>
      </c>
    </row>
    <row r="523" spans="1:5" x14ac:dyDescent="0.3">
      <c r="A523" s="17">
        <v>17</v>
      </c>
      <c r="B523" s="18"/>
      <c r="C523" s="19">
        <v>9</v>
      </c>
      <c r="D523" s="18">
        <v>25</v>
      </c>
      <c r="E523" s="20" t="s">
        <v>9</v>
      </c>
    </row>
    <row r="524" spans="1:5" x14ac:dyDescent="0.3">
      <c r="A524" s="17">
        <v>17</v>
      </c>
      <c r="B524" s="18"/>
      <c r="C524" s="19">
        <v>90</v>
      </c>
      <c r="D524" s="18">
        <v>25</v>
      </c>
      <c r="E524" s="20" t="s">
        <v>9</v>
      </c>
    </row>
    <row r="525" spans="1:5" x14ac:dyDescent="0.3">
      <c r="A525" s="17">
        <v>17</v>
      </c>
      <c r="B525" s="18"/>
      <c r="C525" s="19">
        <v>79</v>
      </c>
      <c r="D525" s="18">
        <v>50</v>
      </c>
      <c r="E525" s="20" t="s">
        <v>9</v>
      </c>
    </row>
    <row r="526" spans="1:5" x14ac:dyDescent="0.3">
      <c r="A526" s="17">
        <v>17</v>
      </c>
      <c r="B526" s="18"/>
      <c r="C526" s="19">
        <v>97</v>
      </c>
      <c r="D526" s="18">
        <v>50</v>
      </c>
      <c r="E526" s="20" t="s">
        <v>9</v>
      </c>
    </row>
    <row r="527" spans="1:5" x14ac:dyDescent="0.3">
      <c r="A527" s="17">
        <v>17</v>
      </c>
      <c r="B527" s="18"/>
      <c r="C527" s="9">
        <v>9</v>
      </c>
      <c r="D527" s="18">
        <v>25</v>
      </c>
      <c r="E527" s="16" t="s">
        <v>10</v>
      </c>
    </row>
    <row r="528" spans="1:5" x14ac:dyDescent="0.3">
      <c r="A528" s="17">
        <v>17</v>
      </c>
      <c r="B528" s="18"/>
      <c r="C528" s="9">
        <v>90</v>
      </c>
      <c r="D528" s="18">
        <v>25</v>
      </c>
      <c r="E528" s="16" t="s">
        <v>10</v>
      </c>
    </row>
    <row r="529" spans="1:5" x14ac:dyDescent="0.3">
      <c r="A529" s="17">
        <v>17</v>
      </c>
      <c r="B529" s="18"/>
      <c r="C529" s="9">
        <v>79</v>
      </c>
      <c r="D529" s="18">
        <v>50</v>
      </c>
      <c r="E529" s="16" t="s">
        <v>10</v>
      </c>
    </row>
    <row r="530" spans="1:5" x14ac:dyDescent="0.3">
      <c r="A530" s="17">
        <v>17</v>
      </c>
      <c r="B530" s="18"/>
      <c r="C530" s="19">
        <v>97</v>
      </c>
      <c r="D530" s="18">
        <v>50</v>
      </c>
      <c r="E530" s="16" t="s">
        <v>10</v>
      </c>
    </row>
    <row r="531" spans="1:5" x14ac:dyDescent="0.3">
      <c r="A531" s="15">
        <v>24</v>
      </c>
      <c r="B531" s="18"/>
      <c r="C531" s="9">
        <v>68</v>
      </c>
      <c r="D531" s="5">
        <v>100</v>
      </c>
      <c r="E531" s="16" t="s">
        <v>9</v>
      </c>
    </row>
    <row r="532" spans="1:5" x14ac:dyDescent="0.3">
      <c r="A532" s="15">
        <v>24</v>
      </c>
      <c r="B532" s="18"/>
      <c r="C532" s="19">
        <v>86</v>
      </c>
      <c r="D532" s="18">
        <v>100</v>
      </c>
      <c r="E532" s="16" t="s">
        <v>9</v>
      </c>
    </row>
    <row r="533" spans="1:5" x14ac:dyDescent="0.3">
      <c r="A533" s="15">
        <v>24</v>
      </c>
      <c r="B533" s="18"/>
      <c r="C533" s="19">
        <v>24</v>
      </c>
      <c r="D533" s="18">
        <v>100</v>
      </c>
      <c r="E533" s="16" t="s">
        <v>9</v>
      </c>
    </row>
    <row r="534" spans="1:5" x14ac:dyDescent="0.3">
      <c r="A534" s="15">
        <v>24</v>
      </c>
      <c r="B534" s="18"/>
      <c r="C534" s="19">
        <v>42</v>
      </c>
      <c r="D534" s="18">
        <v>100</v>
      </c>
      <c r="E534" s="16" t="s">
        <v>9</v>
      </c>
    </row>
    <row r="535" spans="1:5" x14ac:dyDescent="0.3">
      <c r="A535" s="15">
        <v>24</v>
      </c>
      <c r="B535" s="18"/>
      <c r="C535" s="19">
        <v>58</v>
      </c>
      <c r="D535" s="18">
        <v>800</v>
      </c>
      <c r="E535" s="16" t="s">
        <v>9</v>
      </c>
    </row>
    <row r="536" spans="1:5" x14ac:dyDescent="0.3">
      <c r="A536" s="15">
        <v>24</v>
      </c>
      <c r="B536" s="18"/>
      <c r="C536" s="19">
        <v>85</v>
      </c>
      <c r="D536" s="18">
        <v>800</v>
      </c>
      <c r="E536" s="16" t="s">
        <v>9</v>
      </c>
    </row>
    <row r="537" spans="1:5" x14ac:dyDescent="0.3">
      <c r="A537" s="15">
        <v>24</v>
      </c>
      <c r="B537" s="18"/>
      <c r="C537" s="19">
        <v>57</v>
      </c>
      <c r="D537" s="18">
        <v>600</v>
      </c>
      <c r="E537" s="16" t="s">
        <v>9</v>
      </c>
    </row>
    <row r="538" spans="1:5" x14ac:dyDescent="0.3">
      <c r="A538" s="15">
        <v>24</v>
      </c>
      <c r="B538" s="18"/>
      <c r="C538" s="19">
        <v>75</v>
      </c>
      <c r="D538" s="18">
        <v>400</v>
      </c>
      <c r="E538" s="16" t="s">
        <v>9</v>
      </c>
    </row>
    <row r="539" spans="1:5" x14ac:dyDescent="0.3">
      <c r="A539" s="15">
        <v>24</v>
      </c>
      <c r="B539" s="18"/>
      <c r="C539" s="19">
        <v>78</v>
      </c>
      <c r="D539" s="18">
        <v>600</v>
      </c>
      <c r="E539" s="16" t="s">
        <v>9</v>
      </c>
    </row>
    <row r="540" spans="1:5" x14ac:dyDescent="0.3">
      <c r="A540" s="15">
        <v>24</v>
      </c>
      <c r="B540" s="18"/>
      <c r="C540" s="19">
        <v>87</v>
      </c>
      <c r="D540" s="18">
        <v>400</v>
      </c>
      <c r="E540" s="16" t="s">
        <v>9</v>
      </c>
    </row>
    <row r="541" spans="1:5" x14ac:dyDescent="0.3">
      <c r="A541" s="15">
        <v>24</v>
      </c>
      <c r="B541" s="18"/>
      <c r="C541" s="19">
        <v>23</v>
      </c>
      <c r="D541" s="18">
        <v>200</v>
      </c>
      <c r="E541" s="16" t="s">
        <v>9</v>
      </c>
    </row>
    <row r="542" spans="1:5" x14ac:dyDescent="0.3">
      <c r="A542" s="15">
        <v>24</v>
      </c>
      <c r="B542" s="18"/>
      <c r="C542" s="19">
        <v>32</v>
      </c>
      <c r="D542" s="18">
        <v>100</v>
      </c>
      <c r="E542" s="16" t="s">
        <v>9</v>
      </c>
    </row>
    <row r="543" spans="1:5" x14ac:dyDescent="0.3">
      <c r="A543" s="15">
        <v>24</v>
      </c>
      <c r="B543" s="18"/>
      <c r="C543" s="19">
        <v>88</v>
      </c>
      <c r="D543" s="18">
        <v>100</v>
      </c>
      <c r="E543" s="16" t="s">
        <v>9</v>
      </c>
    </row>
    <row r="544" spans="1:5" x14ac:dyDescent="0.3">
      <c r="A544" s="15">
        <v>24</v>
      </c>
      <c r="B544" s="18"/>
      <c r="C544" s="19">
        <v>99</v>
      </c>
      <c r="D544" s="18">
        <v>100</v>
      </c>
      <c r="E544" s="16" t="s">
        <v>9</v>
      </c>
    </row>
    <row r="545" spans="1:5" x14ac:dyDescent="0.3">
      <c r="A545" s="15">
        <v>24</v>
      </c>
      <c r="B545" s="18"/>
      <c r="C545" s="19">
        <v>74</v>
      </c>
      <c r="D545" s="18">
        <v>400</v>
      </c>
      <c r="E545" s="16" t="s">
        <v>9</v>
      </c>
    </row>
    <row r="546" spans="1:5" x14ac:dyDescent="0.3">
      <c r="A546" s="15">
        <v>24</v>
      </c>
      <c r="B546" s="18"/>
      <c r="C546" s="19">
        <v>47</v>
      </c>
      <c r="D546" s="18">
        <v>400</v>
      </c>
      <c r="E546" s="16" t="s">
        <v>9</v>
      </c>
    </row>
    <row r="547" spans="1:5" x14ac:dyDescent="0.3">
      <c r="A547" s="15">
        <v>24</v>
      </c>
      <c r="B547" s="18"/>
      <c r="C547" s="19">
        <v>48</v>
      </c>
      <c r="D547" s="18">
        <v>300</v>
      </c>
      <c r="E547" s="16" t="s">
        <v>9</v>
      </c>
    </row>
    <row r="548" spans="1:5" x14ac:dyDescent="0.3">
      <c r="A548" s="15">
        <v>24</v>
      </c>
      <c r="B548" s="18"/>
      <c r="C548" s="19">
        <v>84</v>
      </c>
      <c r="D548" s="18">
        <v>300</v>
      </c>
      <c r="E548" s="16" t="s">
        <v>9</v>
      </c>
    </row>
    <row r="549" spans="1:5" x14ac:dyDescent="0.3">
      <c r="A549" s="15">
        <v>24</v>
      </c>
      <c r="B549" s="18"/>
      <c r="C549" s="19">
        <v>0</v>
      </c>
      <c r="D549" s="18">
        <v>50</v>
      </c>
      <c r="E549" s="16" t="s">
        <v>9</v>
      </c>
    </row>
    <row r="550" spans="1:5" x14ac:dyDescent="0.3">
      <c r="A550" s="15">
        <v>24</v>
      </c>
      <c r="B550" s="18"/>
      <c r="C550" s="9">
        <v>68</v>
      </c>
      <c r="D550" s="5">
        <v>100</v>
      </c>
      <c r="E550" s="16" t="s">
        <v>10</v>
      </c>
    </row>
    <row r="551" spans="1:5" x14ac:dyDescent="0.3">
      <c r="A551" s="15">
        <v>24</v>
      </c>
      <c r="B551" s="18"/>
      <c r="C551" s="9">
        <v>86</v>
      </c>
      <c r="D551" s="5">
        <v>100</v>
      </c>
      <c r="E551" s="16" t="s">
        <v>10</v>
      </c>
    </row>
    <row r="552" spans="1:5" x14ac:dyDescent="0.3">
      <c r="A552" s="15">
        <v>24</v>
      </c>
      <c r="B552" s="18"/>
      <c r="C552" s="9">
        <v>24</v>
      </c>
      <c r="D552" s="5">
        <v>100</v>
      </c>
      <c r="E552" s="16" t="s">
        <v>10</v>
      </c>
    </row>
    <row r="553" spans="1:5" x14ac:dyDescent="0.3">
      <c r="A553" s="15">
        <v>24</v>
      </c>
      <c r="B553" s="18"/>
      <c r="C553" s="9">
        <v>42</v>
      </c>
      <c r="D553" s="5">
        <v>100</v>
      </c>
      <c r="E553" s="16" t="s">
        <v>10</v>
      </c>
    </row>
    <row r="554" spans="1:5" x14ac:dyDescent="0.3">
      <c r="A554" s="15">
        <v>24</v>
      </c>
      <c r="B554" s="18"/>
      <c r="C554" s="9">
        <v>58</v>
      </c>
      <c r="D554" s="5">
        <v>1200</v>
      </c>
      <c r="E554" s="16" t="s">
        <v>10</v>
      </c>
    </row>
    <row r="555" spans="1:5" x14ac:dyDescent="0.3">
      <c r="A555" s="15">
        <v>24</v>
      </c>
      <c r="B555" s="18"/>
      <c r="C555" s="9">
        <v>85</v>
      </c>
      <c r="D555" s="5">
        <v>800</v>
      </c>
      <c r="E555" s="16" t="s">
        <v>10</v>
      </c>
    </row>
    <row r="556" spans="1:5" x14ac:dyDescent="0.3">
      <c r="A556" s="15">
        <v>24</v>
      </c>
      <c r="B556" s="18"/>
      <c r="C556" s="9">
        <v>57</v>
      </c>
      <c r="D556" s="5">
        <v>600</v>
      </c>
      <c r="E556" s="16" t="s">
        <v>10</v>
      </c>
    </row>
    <row r="557" spans="1:5" x14ac:dyDescent="0.3">
      <c r="A557" s="15">
        <v>24</v>
      </c>
      <c r="B557" s="18"/>
      <c r="C557" s="9">
        <v>75</v>
      </c>
      <c r="D557" s="5">
        <v>400</v>
      </c>
      <c r="E557" s="16" t="s">
        <v>10</v>
      </c>
    </row>
    <row r="558" spans="1:5" x14ac:dyDescent="0.3">
      <c r="A558" s="15">
        <v>24</v>
      </c>
      <c r="B558" s="18"/>
      <c r="C558" s="9">
        <v>78</v>
      </c>
      <c r="D558" s="5">
        <v>200</v>
      </c>
      <c r="E558" s="16" t="s">
        <v>10</v>
      </c>
    </row>
    <row r="559" spans="1:5" x14ac:dyDescent="0.3">
      <c r="A559" s="15">
        <v>24</v>
      </c>
      <c r="B559" s="18"/>
      <c r="C559" s="9">
        <v>87</v>
      </c>
      <c r="D559" s="5">
        <v>200</v>
      </c>
      <c r="E559" s="16" t="s">
        <v>10</v>
      </c>
    </row>
    <row r="560" spans="1:5" x14ac:dyDescent="0.3">
      <c r="A560" s="15">
        <v>24</v>
      </c>
      <c r="B560" s="18"/>
      <c r="C560" s="9">
        <v>23</v>
      </c>
      <c r="D560" s="5">
        <v>300</v>
      </c>
      <c r="E560" s="16" t="s">
        <v>10</v>
      </c>
    </row>
    <row r="561" spans="1:5" x14ac:dyDescent="0.3">
      <c r="A561" s="15">
        <v>24</v>
      </c>
      <c r="B561" s="18"/>
      <c r="C561" s="9">
        <v>32</v>
      </c>
      <c r="D561" s="5">
        <v>100</v>
      </c>
      <c r="E561" s="16" t="s">
        <v>10</v>
      </c>
    </row>
    <row r="562" spans="1:5" x14ac:dyDescent="0.3">
      <c r="A562" s="15">
        <v>24</v>
      </c>
      <c r="B562" s="18"/>
      <c r="C562" s="9">
        <v>88</v>
      </c>
      <c r="D562" s="5">
        <v>100</v>
      </c>
      <c r="E562" s="16" t="s">
        <v>10</v>
      </c>
    </row>
    <row r="563" spans="1:5" x14ac:dyDescent="0.3">
      <c r="A563" s="15">
        <v>24</v>
      </c>
      <c r="B563" s="18"/>
      <c r="C563" s="9">
        <v>99</v>
      </c>
      <c r="D563" s="5">
        <v>100</v>
      </c>
      <c r="E563" s="16" t="s">
        <v>10</v>
      </c>
    </row>
    <row r="564" spans="1:5" x14ac:dyDescent="0.3">
      <c r="A564" s="15">
        <v>24</v>
      </c>
      <c r="B564" s="18"/>
      <c r="C564" s="9">
        <v>74</v>
      </c>
      <c r="D564" s="5">
        <v>200</v>
      </c>
      <c r="E564" s="16" t="s">
        <v>10</v>
      </c>
    </row>
    <row r="565" spans="1:5" x14ac:dyDescent="0.3">
      <c r="A565" s="15">
        <v>24</v>
      </c>
      <c r="B565" s="18"/>
      <c r="C565" s="9">
        <v>47</v>
      </c>
      <c r="D565" s="5">
        <v>400</v>
      </c>
      <c r="E565" s="16" t="s">
        <v>10</v>
      </c>
    </row>
    <row r="566" spans="1:5" x14ac:dyDescent="0.3">
      <c r="A566" s="15">
        <v>24</v>
      </c>
      <c r="B566" s="18"/>
      <c r="C566" s="9">
        <v>48</v>
      </c>
      <c r="D566" s="5">
        <v>500</v>
      </c>
      <c r="E566" s="16" t="s">
        <v>10</v>
      </c>
    </row>
    <row r="567" spans="1:5" x14ac:dyDescent="0.3">
      <c r="A567" s="15">
        <v>24</v>
      </c>
      <c r="B567" s="18"/>
      <c r="C567" s="9">
        <v>84</v>
      </c>
      <c r="D567" s="5">
        <v>700</v>
      </c>
      <c r="E567" s="16" t="s">
        <v>10</v>
      </c>
    </row>
    <row r="568" spans="1:5" x14ac:dyDescent="0.3">
      <c r="A568" s="15">
        <v>24</v>
      </c>
      <c r="B568" s="18"/>
      <c r="C568" s="19">
        <v>0</v>
      </c>
      <c r="D568" s="18">
        <v>50</v>
      </c>
      <c r="E568" s="16" t="s">
        <v>10</v>
      </c>
    </row>
    <row r="569" spans="1:5" x14ac:dyDescent="0.3">
      <c r="A569" s="17">
        <v>25</v>
      </c>
      <c r="B569" s="18"/>
      <c r="C569" s="19">
        <v>3</v>
      </c>
      <c r="D569" s="18">
        <v>50</v>
      </c>
      <c r="E569" s="20" t="s">
        <v>9</v>
      </c>
    </row>
    <row r="570" spans="1:5" x14ac:dyDescent="0.3">
      <c r="A570" s="17">
        <v>25</v>
      </c>
      <c r="B570" s="18"/>
      <c r="C570" s="19">
        <v>30</v>
      </c>
      <c r="D570" s="18">
        <v>50</v>
      </c>
      <c r="E570" s="20" t="s">
        <v>9</v>
      </c>
    </row>
    <row r="571" spans="1:5" x14ac:dyDescent="0.3">
      <c r="A571" s="17">
        <v>25</v>
      </c>
      <c r="B571" s="18"/>
      <c r="C571" s="19">
        <v>23</v>
      </c>
      <c r="D571" s="18">
        <v>50</v>
      </c>
      <c r="E571" s="20" t="s">
        <v>9</v>
      </c>
    </row>
    <row r="572" spans="1:5" x14ac:dyDescent="0.3">
      <c r="A572" s="17">
        <v>25</v>
      </c>
      <c r="B572" s="18"/>
      <c r="C572" s="19">
        <v>32</v>
      </c>
      <c r="D572" s="18">
        <v>50</v>
      </c>
      <c r="E572" s="20" t="s">
        <v>9</v>
      </c>
    </row>
    <row r="573" spans="1:5" x14ac:dyDescent="0.3">
      <c r="A573" s="17">
        <v>25</v>
      </c>
      <c r="B573" s="18"/>
      <c r="C573" s="9">
        <v>3</v>
      </c>
      <c r="D573" s="18">
        <v>50</v>
      </c>
      <c r="E573" s="16" t="s">
        <v>10</v>
      </c>
    </row>
    <row r="574" spans="1:5" x14ac:dyDescent="0.3">
      <c r="A574" s="17">
        <v>25</v>
      </c>
      <c r="B574" s="18"/>
      <c r="C574" s="9">
        <v>30</v>
      </c>
      <c r="D574" s="18">
        <v>50</v>
      </c>
      <c r="E574" s="16" t="s">
        <v>10</v>
      </c>
    </row>
    <row r="575" spans="1:5" x14ac:dyDescent="0.3">
      <c r="A575" s="17">
        <v>25</v>
      </c>
      <c r="B575" s="18"/>
      <c r="C575" s="9">
        <v>23</v>
      </c>
      <c r="D575" s="18">
        <v>50</v>
      </c>
      <c r="E575" s="16" t="s">
        <v>10</v>
      </c>
    </row>
    <row r="576" spans="1:5" x14ac:dyDescent="0.3">
      <c r="A576" s="17">
        <v>25</v>
      </c>
      <c r="B576" s="18"/>
      <c r="C576" s="19">
        <v>32</v>
      </c>
      <c r="D576" s="18">
        <v>50</v>
      </c>
      <c r="E576" s="16" t="s">
        <v>10</v>
      </c>
    </row>
    <row r="577" spans="1:5" x14ac:dyDescent="0.3">
      <c r="A577" s="17">
        <v>26</v>
      </c>
      <c r="B577" s="18"/>
      <c r="C577" s="19">
        <v>18</v>
      </c>
      <c r="D577" s="18">
        <v>20</v>
      </c>
      <c r="E577" s="20" t="s">
        <v>9</v>
      </c>
    </row>
    <row r="578" spans="1:5" x14ac:dyDescent="0.3">
      <c r="A578" s="17">
        <v>26</v>
      </c>
      <c r="B578" s="18"/>
      <c r="C578" s="19">
        <v>14</v>
      </c>
      <c r="D578" s="18">
        <v>20</v>
      </c>
      <c r="E578" s="20" t="s">
        <v>9</v>
      </c>
    </row>
    <row r="579" spans="1:5" x14ac:dyDescent="0.3">
      <c r="A579" s="17">
        <v>26</v>
      </c>
      <c r="B579" s="18"/>
      <c r="C579" s="19">
        <v>13</v>
      </c>
      <c r="D579" s="18">
        <v>20</v>
      </c>
      <c r="E579" s="20" t="s">
        <v>9</v>
      </c>
    </row>
    <row r="580" spans="1:5" x14ac:dyDescent="0.3">
      <c r="A580" s="17">
        <v>26</v>
      </c>
      <c r="B580" s="18"/>
      <c r="C580" s="19">
        <v>88</v>
      </c>
      <c r="D580" s="18">
        <v>20</v>
      </c>
      <c r="E580" s="20" t="s">
        <v>9</v>
      </c>
    </row>
    <row r="581" spans="1:5" x14ac:dyDescent="0.3">
      <c r="A581" s="17">
        <v>26</v>
      </c>
      <c r="B581" s="18"/>
      <c r="C581" s="9">
        <v>18</v>
      </c>
      <c r="D581" s="18">
        <v>20</v>
      </c>
      <c r="E581" s="16" t="s">
        <v>10</v>
      </c>
    </row>
    <row r="582" spans="1:5" x14ac:dyDescent="0.3">
      <c r="A582" s="17">
        <v>26</v>
      </c>
      <c r="B582" s="18"/>
      <c r="C582" s="9">
        <v>14</v>
      </c>
      <c r="D582" s="18">
        <v>20</v>
      </c>
      <c r="E582" s="16" t="s">
        <v>10</v>
      </c>
    </row>
    <row r="583" spans="1:5" x14ac:dyDescent="0.3">
      <c r="A583" s="17">
        <v>26</v>
      </c>
      <c r="B583" s="18"/>
      <c r="C583" s="9">
        <v>13</v>
      </c>
      <c r="D583" s="18">
        <v>20</v>
      </c>
      <c r="E583" s="16" t="s">
        <v>10</v>
      </c>
    </row>
    <row r="584" spans="1:5" x14ac:dyDescent="0.3">
      <c r="A584" s="17">
        <v>26</v>
      </c>
      <c r="B584" s="18"/>
      <c r="C584" s="19">
        <v>88</v>
      </c>
      <c r="D584" s="18">
        <v>20</v>
      </c>
      <c r="E584" s="16" t="s">
        <v>10</v>
      </c>
    </row>
    <row r="585" spans="1:5" x14ac:dyDescent="0.3">
      <c r="A585" s="17">
        <v>27</v>
      </c>
      <c r="B585" s="18"/>
      <c r="C585" s="19">
        <v>27</v>
      </c>
      <c r="D585" s="18">
        <v>50</v>
      </c>
      <c r="E585" s="20" t="s">
        <v>9</v>
      </c>
    </row>
    <row r="586" spans="1:5" x14ac:dyDescent="0.3">
      <c r="A586" s="17">
        <v>27</v>
      </c>
      <c r="B586" s="18"/>
      <c r="C586" s="19">
        <v>72</v>
      </c>
      <c r="D586" s="18">
        <v>50</v>
      </c>
      <c r="E586" s="20" t="s">
        <v>9</v>
      </c>
    </row>
    <row r="587" spans="1:5" x14ac:dyDescent="0.3">
      <c r="A587" s="17">
        <v>27</v>
      </c>
      <c r="B587" s="18"/>
      <c r="C587" s="19">
        <v>68</v>
      </c>
      <c r="D587" s="18">
        <v>50</v>
      </c>
      <c r="E587" s="20" t="s">
        <v>10</v>
      </c>
    </row>
    <row r="588" spans="1:5" x14ac:dyDescent="0.3">
      <c r="A588" s="17">
        <v>27</v>
      </c>
      <c r="B588" s="18"/>
      <c r="C588" s="19">
        <v>86</v>
      </c>
      <c r="D588" s="18">
        <v>50</v>
      </c>
      <c r="E588" s="20" t="s">
        <v>10</v>
      </c>
    </row>
    <row r="589" spans="1:5" x14ac:dyDescent="0.3">
      <c r="A589" s="17">
        <v>27</v>
      </c>
      <c r="B589" s="18"/>
      <c r="C589" s="19">
        <v>49</v>
      </c>
      <c r="D589" s="18">
        <v>50</v>
      </c>
      <c r="E589" s="20" t="s">
        <v>10</v>
      </c>
    </row>
    <row r="590" spans="1:5" x14ac:dyDescent="0.3">
      <c r="A590" s="17">
        <v>27</v>
      </c>
      <c r="B590" s="18"/>
      <c r="C590" s="19">
        <v>94</v>
      </c>
      <c r="D590" s="18">
        <v>50</v>
      </c>
      <c r="E590" s="20" t="s">
        <v>10</v>
      </c>
    </row>
    <row r="591" spans="1:5" x14ac:dyDescent="0.3">
      <c r="A591" s="17">
        <v>28</v>
      </c>
      <c r="B591" s="18"/>
      <c r="C591" s="19">
        <v>17</v>
      </c>
      <c r="D591" s="18">
        <v>10</v>
      </c>
      <c r="E591" s="20" t="s">
        <v>9</v>
      </c>
    </row>
    <row r="592" spans="1:5" x14ac:dyDescent="0.3">
      <c r="A592" s="17">
        <v>28</v>
      </c>
      <c r="B592" s="18"/>
      <c r="C592" s="19">
        <v>71</v>
      </c>
      <c r="D592" s="18">
        <v>10</v>
      </c>
      <c r="E592" s="20" t="s">
        <v>9</v>
      </c>
    </row>
    <row r="593" spans="1:5" x14ac:dyDescent="0.3">
      <c r="A593" s="17">
        <v>28</v>
      </c>
      <c r="B593" s="18"/>
      <c r="C593" s="19">
        <v>24</v>
      </c>
      <c r="D593" s="18">
        <v>10</v>
      </c>
      <c r="E593" s="20" t="s">
        <v>9</v>
      </c>
    </row>
    <row r="594" spans="1:5" x14ac:dyDescent="0.3">
      <c r="A594" s="17">
        <v>28</v>
      </c>
      <c r="B594" s="18"/>
      <c r="C594" s="19">
        <v>42</v>
      </c>
      <c r="D594" s="18">
        <v>10</v>
      </c>
      <c r="E594" s="20" t="s">
        <v>9</v>
      </c>
    </row>
    <row r="595" spans="1:5" x14ac:dyDescent="0.3">
      <c r="A595" s="17">
        <v>28</v>
      </c>
      <c r="B595" s="18"/>
      <c r="C595" s="19">
        <v>40</v>
      </c>
      <c r="D595" s="18">
        <v>10</v>
      </c>
      <c r="E595" s="20" t="s">
        <v>9</v>
      </c>
    </row>
    <row r="596" spans="1:5" x14ac:dyDescent="0.3">
      <c r="A596" s="17">
        <v>28</v>
      </c>
      <c r="B596" s="18"/>
      <c r="C596" s="19">
        <v>4</v>
      </c>
      <c r="D596" s="18">
        <v>10</v>
      </c>
      <c r="E596" s="20" t="s">
        <v>9</v>
      </c>
    </row>
    <row r="597" spans="1:5" x14ac:dyDescent="0.3">
      <c r="A597" s="17">
        <v>28</v>
      </c>
      <c r="B597" s="18"/>
      <c r="C597" s="19">
        <v>97</v>
      </c>
      <c r="D597" s="18">
        <v>10</v>
      </c>
      <c r="E597" s="20" t="s">
        <v>9</v>
      </c>
    </row>
    <row r="598" spans="1:5" x14ac:dyDescent="0.3">
      <c r="A598" s="17">
        <v>28</v>
      </c>
      <c r="B598" s="18"/>
      <c r="C598" s="19">
        <v>79</v>
      </c>
      <c r="D598" s="18">
        <v>10</v>
      </c>
      <c r="E598" s="20" t="s">
        <v>9</v>
      </c>
    </row>
    <row r="599" spans="1:5" x14ac:dyDescent="0.3">
      <c r="A599" s="17">
        <v>28</v>
      </c>
      <c r="B599" s="18"/>
      <c r="C599" s="19">
        <v>20</v>
      </c>
      <c r="D599" s="18">
        <v>10</v>
      </c>
      <c r="E599" s="20" t="s">
        <v>9</v>
      </c>
    </row>
    <row r="600" spans="1:5" x14ac:dyDescent="0.3">
      <c r="A600" s="17">
        <v>28</v>
      </c>
      <c r="B600" s="18"/>
      <c r="C600" s="19">
        <v>2</v>
      </c>
      <c r="D600" s="18">
        <v>10</v>
      </c>
      <c r="E600" s="20" t="s">
        <v>9</v>
      </c>
    </row>
    <row r="601" spans="1:5" x14ac:dyDescent="0.3">
      <c r="A601" s="17">
        <v>28</v>
      </c>
      <c r="B601" s="18"/>
      <c r="C601" s="19">
        <v>22</v>
      </c>
      <c r="D601" s="18">
        <v>10</v>
      </c>
      <c r="E601" s="20" t="s">
        <v>9</v>
      </c>
    </row>
    <row r="602" spans="1:5" x14ac:dyDescent="0.3">
      <c r="A602" s="17">
        <v>28</v>
      </c>
      <c r="B602" s="18"/>
      <c r="C602" s="19">
        <v>74</v>
      </c>
      <c r="D602" s="18">
        <v>10</v>
      </c>
      <c r="E602" s="20" t="s">
        <v>9</v>
      </c>
    </row>
    <row r="603" spans="1:5" x14ac:dyDescent="0.3">
      <c r="A603" s="17">
        <v>28</v>
      </c>
      <c r="B603" s="18"/>
      <c r="C603" s="19">
        <v>47</v>
      </c>
      <c r="D603" s="18">
        <v>10</v>
      </c>
      <c r="E603" s="20" t="s">
        <v>9</v>
      </c>
    </row>
    <row r="604" spans="1:5" x14ac:dyDescent="0.3">
      <c r="A604" s="17">
        <v>28</v>
      </c>
      <c r="B604" s="18"/>
      <c r="C604" s="9">
        <v>17</v>
      </c>
      <c r="D604" s="18">
        <v>10</v>
      </c>
      <c r="E604" s="16" t="s">
        <v>10</v>
      </c>
    </row>
    <row r="605" spans="1:5" x14ac:dyDescent="0.3">
      <c r="A605" s="17">
        <v>28</v>
      </c>
      <c r="B605" s="18"/>
      <c r="C605" s="9">
        <v>71</v>
      </c>
      <c r="D605" s="18">
        <v>10</v>
      </c>
      <c r="E605" s="16" t="s">
        <v>10</v>
      </c>
    </row>
    <row r="606" spans="1:5" x14ac:dyDescent="0.3">
      <c r="A606" s="17">
        <v>28</v>
      </c>
      <c r="B606" s="18"/>
      <c r="C606" s="9">
        <v>24</v>
      </c>
      <c r="D606" s="18">
        <v>10</v>
      </c>
      <c r="E606" s="16" t="s">
        <v>10</v>
      </c>
    </row>
    <row r="607" spans="1:5" x14ac:dyDescent="0.3">
      <c r="A607" s="17">
        <v>28</v>
      </c>
      <c r="B607" s="18"/>
      <c r="C607" s="9">
        <v>42</v>
      </c>
      <c r="D607" s="18">
        <v>10</v>
      </c>
      <c r="E607" s="16" t="s">
        <v>10</v>
      </c>
    </row>
    <row r="608" spans="1:5" x14ac:dyDescent="0.3">
      <c r="A608" s="17">
        <v>28</v>
      </c>
      <c r="B608" s="18"/>
      <c r="C608" s="9">
        <v>40</v>
      </c>
      <c r="D608" s="18">
        <v>10</v>
      </c>
      <c r="E608" s="16" t="s">
        <v>10</v>
      </c>
    </row>
    <row r="609" spans="1:5" x14ac:dyDescent="0.3">
      <c r="A609" s="17">
        <v>28</v>
      </c>
      <c r="B609" s="18"/>
      <c r="C609" s="9">
        <v>4</v>
      </c>
      <c r="D609" s="18">
        <v>10</v>
      </c>
      <c r="E609" s="16" t="s">
        <v>10</v>
      </c>
    </row>
    <row r="610" spans="1:5" x14ac:dyDescent="0.3">
      <c r="A610" s="17">
        <v>28</v>
      </c>
      <c r="B610" s="18"/>
      <c r="C610" s="9">
        <v>97</v>
      </c>
      <c r="D610" s="18">
        <v>10</v>
      </c>
      <c r="E610" s="16" t="s">
        <v>10</v>
      </c>
    </row>
    <row r="611" spans="1:5" x14ac:dyDescent="0.3">
      <c r="A611" s="17">
        <v>28</v>
      </c>
      <c r="B611" s="18"/>
      <c r="C611" s="9">
        <v>79</v>
      </c>
      <c r="D611" s="18">
        <v>10</v>
      </c>
      <c r="E611" s="16" t="s">
        <v>10</v>
      </c>
    </row>
    <row r="612" spans="1:5" x14ac:dyDescent="0.3">
      <c r="A612" s="17">
        <v>28</v>
      </c>
      <c r="B612" s="18"/>
      <c r="C612" s="9">
        <v>20</v>
      </c>
      <c r="D612" s="18">
        <v>10</v>
      </c>
      <c r="E612" s="16" t="s">
        <v>10</v>
      </c>
    </row>
    <row r="613" spans="1:5" x14ac:dyDescent="0.3">
      <c r="A613" s="17">
        <v>28</v>
      </c>
      <c r="B613" s="18"/>
      <c r="C613" s="9">
        <v>2</v>
      </c>
      <c r="D613" s="18">
        <v>10</v>
      </c>
      <c r="E613" s="16" t="s">
        <v>10</v>
      </c>
    </row>
    <row r="614" spans="1:5" x14ac:dyDescent="0.3">
      <c r="A614" s="17">
        <v>28</v>
      </c>
      <c r="B614" s="18"/>
      <c r="C614" s="9">
        <v>22</v>
      </c>
      <c r="D614" s="18">
        <v>10</v>
      </c>
      <c r="E614" s="16" t="s">
        <v>10</v>
      </c>
    </row>
    <row r="615" spans="1:5" x14ac:dyDescent="0.3">
      <c r="A615" s="17">
        <v>28</v>
      </c>
      <c r="B615" s="18"/>
      <c r="C615" s="9">
        <v>74</v>
      </c>
      <c r="D615" s="18">
        <v>10</v>
      </c>
      <c r="E615" s="16" t="s">
        <v>10</v>
      </c>
    </row>
    <row r="616" spans="1:5" x14ac:dyDescent="0.3">
      <c r="A616" s="17">
        <v>28</v>
      </c>
      <c r="B616" s="18"/>
      <c r="C616" s="19">
        <v>47</v>
      </c>
      <c r="D616" s="18">
        <v>10</v>
      </c>
      <c r="E616" s="16" t="s">
        <v>10</v>
      </c>
    </row>
    <row r="617" spans="1:5" x14ac:dyDescent="0.3">
      <c r="A617" s="17">
        <v>29</v>
      </c>
      <c r="B617" s="18"/>
      <c r="C617" s="19">
        <v>24</v>
      </c>
      <c r="D617" s="18">
        <v>100</v>
      </c>
      <c r="E617" s="20" t="s">
        <v>9</v>
      </c>
    </row>
    <row r="618" spans="1:5" x14ac:dyDescent="0.3">
      <c r="A618" s="17">
        <v>29</v>
      </c>
      <c r="B618" s="18"/>
      <c r="C618" s="19">
        <v>42</v>
      </c>
      <c r="D618" s="18">
        <v>100</v>
      </c>
      <c r="E618" s="20" t="s">
        <v>9</v>
      </c>
    </row>
    <row r="619" spans="1:5" x14ac:dyDescent="0.3">
      <c r="A619" s="17">
        <v>29</v>
      </c>
      <c r="B619" s="18"/>
      <c r="C619" s="19">
        <v>36</v>
      </c>
      <c r="D619" s="18">
        <v>100</v>
      </c>
      <c r="E619" s="20" t="s">
        <v>9</v>
      </c>
    </row>
    <row r="620" spans="1:5" x14ac:dyDescent="0.3">
      <c r="A620" s="17">
        <v>29</v>
      </c>
      <c r="B620" s="18"/>
      <c r="C620" s="19">
        <v>63</v>
      </c>
      <c r="D620" s="18">
        <v>100</v>
      </c>
      <c r="E620" s="20" t="s">
        <v>9</v>
      </c>
    </row>
    <row r="621" spans="1:5" x14ac:dyDescent="0.3">
      <c r="A621" s="17">
        <v>29</v>
      </c>
      <c r="B621" s="18"/>
      <c r="C621" s="19">
        <v>39</v>
      </c>
      <c r="D621" s="18">
        <v>100</v>
      </c>
      <c r="E621" s="20" t="s">
        <v>9</v>
      </c>
    </row>
    <row r="622" spans="1:5" x14ac:dyDescent="0.3">
      <c r="A622" s="17">
        <v>29</v>
      </c>
      <c r="B622" s="18"/>
      <c r="C622" s="19">
        <v>93</v>
      </c>
      <c r="D622" s="18">
        <v>100</v>
      </c>
      <c r="E622" s="20" t="s">
        <v>9</v>
      </c>
    </row>
    <row r="623" spans="1:5" x14ac:dyDescent="0.3">
      <c r="A623" s="17">
        <v>29</v>
      </c>
      <c r="B623" s="18"/>
      <c r="C623" s="9">
        <v>24</v>
      </c>
      <c r="D623" s="18">
        <v>100</v>
      </c>
      <c r="E623" s="16" t="s">
        <v>10</v>
      </c>
    </row>
    <row r="624" spans="1:5" x14ac:dyDescent="0.3">
      <c r="A624" s="17">
        <v>29</v>
      </c>
      <c r="B624" s="18"/>
      <c r="C624" s="9">
        <v>42</v>
      </c>
      <c r="D624" s="18">
        <v>100</v>
      </c>
      <c r="E624" s="16" t="s">
        <v>10</v>
      </c>
    </row>
    <row r="625" spans="1:5" x14ac:dyDescent="0.3">
      <c r="A625" s="17">
        <v>29</v>
      </c>
      <c r="B625" s="18"/>
      <c r="C625" s="9">
        <v>36</v>
      </c>
      <c r="D625" s="18">
        <v>100</v>
      </c>
      <c r="E625" s="16" t="s">
        <v>10</v>
      </c>
    </row>
    <row r="626" spans="1:5" x14ac:dyDescent="0.3">
      <c r="A626" s="17">
        <v>29</v>
      </c>
      <c r="B626" s="18"/>
      <c r="C626" s="9">
        <v>63</v>
      </c>
      <c r="D626" s="18">
        <v>100</v>
      </c>
      <c r="E626" s="16" t="s">
        <v>10</v>
      </c>
    </row>
    <row r="627" spans="1:5" x14ac:dyDescent="0.3">
      <c r="A627" s="17">
        <v>29</v>
      </c>
      <c r="B627" s="18"/>
      <c r="C627" s="9">
        <v>39</v>
      </c>
      <c r="D627" s="18">
        <v>100</v>
      </c>
      <c r="E627" s="16" t="s">
        <v>10</v>
      </c>
    </row>
    <row r="628" spans="1:5" x14ac:dyDescent="0.3">
      <c r="A628" s="17">
        <v>29</v>
      </c>
      <c r="B628" s="18"/>
      <c r="C628" s="19">
        <v>93</v>
      </c>
      <c r="D628" s="18">
        <v>100</v>
      </c>
      <c r="E628" s="16" t="s">
        <v>10</v>
      </c>
    </row>
    <row r="629" spans="1:5" x14ac:dyDescent="0.3">
      <c r="A629" s="17">
        <v>29</v>
      </c>
      <c r="B629" s="18"/>
      <c r="C629" s="19">
        <v>35</v>
      </c>
      <c r="D629" s="18">
        <v>50</v>
      </c>
      <c r="E629" s="20" t="s">
        <v>9</v>
      </c>
    </row>
    <row r="630" spans="1:5" x14ac:dyDescent="0.3">
      <c r="A630" s="17">
        <v>29</v>
      </c>
      <c r="B630" s="18"/>
      <c r="C630" s="19">
        <v>53</v>
      </c>
      <c r="D630" s="18">
        <v>50</v>
      </c>
      <c r="E630" s="20" t="s">
        <v>10</v>
      </c>
    </row>
    <row r="631" spans="1:5" x14ac:dyDescent="0.3">
      <c r="A631" s="17">
        <v>29</v>
      </c>
      <c r="B631" s="18"/>
      <c r="C631" s="19">
        <v>15</v>
      </c>
      <c r="D631" s="18">
        <v>100</v>
      </c>
      <c r="E631" s="20" t="s">
        <v>9</v>
      </c>
    </row>
    <row r="632" spans="1:5" x14ac:dyDescent="0.3">
      <c r="A632" s="17">
        <v>29</v>
      </c>
      <c r="B632" s="18"/>
      <c r="C632" s="19">
        <v>51</v>
      </c>
      <c r="D632" s="18">
        <v>100</v>
      </c>
      <c r="E632" s="20" t="s">
        <v>9</v>
      </c>
    </row>
    <row r="633" spans="1:5" x14ac:dyDescent="0.3">
      <c r="A633" s="17">
        <v>29</v>
      </c>
      <c r="B633" s="18"/>
      <c r="C633" s="19">
        <v>39</v>
      </c>
      <c r="D633" s="18">
        <v>100</v>
      </c>
      <c r="E633" s="20" t="s">
        <v>9</v>
      </c>
    </row>
    <row r="634" spans="1:5" x14ac:dyDescent="0.3">
      <c r="A634" s="17">
        <v>29</v>
      </c>
      <c r="B634" s="18"/>
      <c r="C634" s="19">
        <v>93</v>
      </c>
      <c r="D634" s="18">
        <v>100</v>
      </c>
      <c r="E634" s="20" t="s">
        <v>9</v>
      </c>
    </row>
    <row r="635" spans="1:5" x14ac:dyDescent="0.3">
      <c r="A635" s="17">
        <v>29</v>
      </c>
      <c r="B635" s="18"/>
      <c r="C635" s="19">
        <v>11</v>
      </c>
      <c r="D635" s="18">
        <v>100</v>
      </c>
      <c r="E635" s="20" t="s">
        <v>9</v>
      </c>
    </row>
    <row r="636" spans="1:5" x14ac:dyDescent="0.3">
      <c r="A636" s="17">
        <v>29</v>
      </c>
      <c r="B636" s="18"/>
      <c r="C636" s="19">
        <v>39</v>
      </c>
      <c r="D636" s="18">
        <v>100</v>
      </c>
      <c r="E636" s="20" t="s">
        <v>9</v>
      </c>
    </row>
    <row r="637" spans="1:5" x14ac:dyDescent="0.3">
      <c r="A637" s="17">
        <v>29</v>
      </c>
      <c r="B637" s="18"/>
      <c r="C637" s="19">
        <v>93</v>
      </c>
      <c r="D637" s="18">
        <v>100</v>
      </c>
      <c r="E637" s="20" t="s">
        <v>9</v>
      </c>
    </row>
    <row r="638" spans="1:5" x14ac:dyDescent="0.3">
      <c r="A638" s="17">
        <v>29</v>
      </c>
      <c r="B638" s="18"/>
      <c r="C638" s="9">
        <v>15</v>
      </c>
      <c r="D638" s="18">
        <v>100</v>
      </c>
      <c r="E638" s="16" t="s">
        <v>10</v>
      </c>
    </row>
    <row r="639" spans="1:5" x14ac:dyDescent="0.3">
      <c r="A639" s="17">
        <v>29</v>
      </c>
      <c r="B639" s="18"/>
      <c r="C639" s="9">
        <v>51</v>
      </c>
      <c r="D639" s="18">
        <v>100</v>
      </c>
      <c r="E639" s="16" t="s">
        <v>10</v>
      </c>
    </row>
    <row r="640" spans="1:5" x14ac:dyDescent="0.3">
      <c r="A640" s="17">
        <v>29</v>
      </c>
      <c r="B640" s="18"/>
      <c r="C640" s="9">
        <v>39</v>
      </c>
      <c r="D640" s="18">
        <v>100</v>
      </c>
      <c r="E640" s="16" t="s">
        <v>10</v>
      </c>
    </row>
    <row r="641" spans="1:5" x14ac:dyDescent="0.3">
      <c r="A641" s="17">
        <v>29</v>
      </c>
      <c r="B641" s="18"/>
      <c r="C641" s="9">
        <v>93</v>
      </c>
      <c r="D641" s="18">
        <v>100</v>
      </c>
      <c r="E641" s="16" t="s">
        <v>10</v>
      </c>
    </row>
    <row r="642" spans="1:5" x14ac:dyDescent="0.3">
      <c r="A642" s="17">
        <v>29</v>
      </c>
      <c r="B642" s="18"/>
      <c r="C642" s="9">
        <v>11</v>
      </c>
      <c r="D642" s="18">
        <v>100</v>
      </c>
      <c r="E642" s="16" t="s">
        <v>10</v>
      </c>
    </row>
    <row r="643" spans="1:5" x14ac:dyDescent="0.3">
      <c r="A643" s="17">
        <v>29</v>
      </c>
      <c r="B643" s="18"/>
      <c r="C643" s="9">
        <v>39</v>
      </c>
      <c r="D643" s="18">
        <v>100</v>
      </c>
      <c r="E643" s="16" t="s">
        <v>10</v>
      </c>
    </row>
    <row r="644" spans="1:5" x14ac:dyDescent="0.3">
      <c r="A644" s="17">
        <v>29</v>
      </c>
      <c r="B644" s="18"/>
      <c r="C644" s="19">
        <v>93</v>
      </c>
      <c r="D644" s="18">
        <v>100</v>
      </c>
      <c r="E644" s="16" t="s">
        <v>10</v>
      </c>
    </row>
    <row r="645" spans="1:5" x14ac:dyDescent="0.3">
      <c r="A645" s="17">
        <v>29</v>
      </c>
      <c r="B645" s="18"/>
      <c r="C645" s="9">
        <v>46</v>
      </c>
      <c r="D645" s="18">
        <v>50</v>
      </c>
      <c r="E645" s="16" t="s">
        <v>9</v>
      </c>
    </row>
    <row r="646" spans="1:5" x14ac:dyDescent="0.3">
      <c r="A646" s="17">
        <v>29</v>
      </c>
      <c r="B646" s="18"/>
      <c r="C646" s="19">
        <v>64</v>
      </c>
      <c r="D646" s="18">
        <v>50</v>
      </c>
      <c r="E646" s="16" t="s">
        <v>9</v>
      </c>
    </row>
    <row r="647" spans="1:5" x14ac:dyDescent="0.3">
      <c r="A647" s="17">
        <v>29</v>
      </c>
      <c r="B647" s="18"/>
      <c r="C647" s="19">
        <v>73</v>
      </c>
      <c r="D647" s="18">
        <v>50</v>
      </c>
      <c r="E647" s="16" t="s">
        <v>9</v>
      </c>
    </row>
    <row r="648" spans="1:5" x14ac:dyDescent="0.3">
      <c r="A648" s="17">
        <v>29</v>
      </c>
      <c r="B648" s="18"/>
      <c r="C648" s="19">
        <v>37</v>
      </c>
      <c r="D648" s="18">
        <v>50</v>
      </c>
      <c r="E648" s="16" t="s">
        <v>9</v>
      </c>
    </row>
    <row r="649" spans="1:5" x14ac:dyDescent="0.3">
      <c r="A649" s="17">
        <v>29</v>
      </c>
      <c r="B649" s="18"/>
      <c r="C649" s="9">
        <v>46</v>
      </c>
      <c r="D649" s="18">
        <v>50</v>
      </c>
      <c r="E649" s="16" t="s">
        <v>10</v>
      </c>
    </row>
    <row r="650" spans="1:5" x14ac:dyDescent="0.3">
      <c r="A650" s="17">
        <v>29</v>
      </c>
      <c r="B650" s="18"/>
      <c r="C650" s="9">
        <v>64</v>
      </c>
      <c r="D650" s="18">
        <v>50</v>
      </c>
      <c r="E650" s="16" t="s">
        <v>10</v>
      </c>
    </row>
    <row r="651" spans="1:5" x14ac:dyDescent="0.3">
      <c r="A651" s="17">
        <v>29</v>
      </c>
      <c r="B651" s="18"/>
      <c r="C651" s="9">
        <v>73</v>
      </c>
      <c r="D651" s="18">
        <v>50</v>
      </c>
      <c r="E651" s="16" t="s">
        <v>10</v>
      </c>
    </row>
    <row r="652" spans="1:5" x14ac:dyDescent="0.3">
      <c r="A652" s="17">
        <v>29</v>
      </c>
      <c r="B652" s="18"/>
      <c r="C652" s="19">
        <v>37</v>
      </c>
      <c r="D652" s="18">
        <v>50</v>
      </c>
      <c r="E652" s="16" t="s">
        <v>10</v>
      </c>
    </row>
    <row r="653" spans="1:5" x14ac:dyDescent="0.3">
      <c r="A653" s="17">
        <v>17</v>
      </c>
      <c r="B653" s="18"/>
      <c r="C653" s="19">
        <v>27</v>
      </c>
      <c r="D653" s="18">
        <v>200</v>
      </c>
      <c r="E653" s="20" t="s">
        <v>9</v>
      </c>
    </row>
    <row r="654" spans="1:5" x14ac:dyDescent="0.3">
      <c r="A654" s="17">
        <v>17</v>
      </c>
      <c r="B654" s="18"/>
      <c r="C654" s="19">
        <v>72</v>
      </c>
      <c r="D654" s="18">
        <v>200</v>
      </c>
      <c r="E654" s="20" t="s">
        <v>9</v>
      </c>
    </row>
    <row r="655" spans="1:5" x14ac:dyDescent="0.3">
      <c r="A655" s="17">
        <v>17</v>
      </c>
      <c r="B655" s="18"/>
      <c r="C655" s="19">
        <v>18</v>
      </c>
      <c r="D655" s="18">
        <v>100</v>
      </c>
      <c r="E655" s="20" t="s">
        <v>9</v>
      </c>
    </row>
    <row r="656" spans="1:5" x14ac:dyDescent="0.3">
      <c r="A656" s="17">
        <v>17</v>
      </c>
      <c r="B656" s="18"/>
      <c r="C656" s="19">
        <v>81</v>
      </c>
      <c r="D656" s="18">
        <v>100</v>
      </c>
      <c r="E656" s="20" t="s">
        <v>9</v>
      </c>
    </row>
    <row r="657" spans="1:5" x14ac:dyDescent="0.3">
      <c r="A657" s="17">
        <v>17</v>
      </c>
      <c r="B657" s="18"/>
      <c r="C657" s="9">
        <v>27</v>
      </c>
      <c r="D657" s="18">
        <v>200</v>
      </c>
      <c r="E657" s="16" t="s">
        <v>10</v>
      </c>
    </row>
    <row r="658" spans="1:5" x14ac:dyDescent="0.3">
      <c r="A658" s="17">
        <v>17</v>
      </c>
      <c r="B658" s="18"/>
      <c r="C658" s="9">
        <v>72</v>
      </c>
      <c r="D658" s="18">
        <v>200</v>
      </c>
      <c r="E658" s="16" t="s">
        <v>10</v>
      </c>
    </row>
    <row r="659" spans="1:5" x14ac:dyDescent="0.3">
      <c r="A659" s="17">
        <v>17</v>
      </c>
      <c r="B659" s="18"/>
      <c r="C659" s="9">
        <v>18</v>
      </c>
      <c r="D659" s="18">
        <v>100</v>
      </c>
      <c r="E659" s="16" t="s">
        <v>10</v>
      </c>
    </row>
    <row r="660" spans="1:5" x14ac:dyDescent="0.3">
      <c r="A660" s="17">
        <v>17</v>
      </c>
      <c r="B660" s="18"/>
      <c r="C660" s="19">
        <v>81</v>
      </c>
      <c r="D660" s="18">
        <v>100</v>
      </c>
      <c r="E660" s="16" t="s">
        <v>10</v>
      </c>
    </row>
    <row r="661" spans="1:5" x14ac:dyDescent="0.3">
      <c r="A661" s="17">
        <v>17</v>
      </c>
      <c r="B661" s="18"/>
      <c r="C661" s="19">
        <v>93</v>
      </c>
      <c r="D661" s="18">
        <v>20</v>
      </c>
      <c r="E661" s="20" t="s">
        <v>9</v>
      </c>
    </row>
    <row r="662" spans="1:5" x14ac:dyDescent="0.3">
      <c r="A662" s="17">
        <v>17</v>
      </c>
      <c r="B662" s="18"/>
      <c r="C662" s="19">
        <v>39</v>
      </c>
      <c r="D662" s="18">
        <v>20</v>
      </c>
      <c r="E662" s="20" t="s">
        <v>9</v>
      </c>
    </row>
    <row r="663" spans="1:5" x14ac:dyDescent="0.3">
      <c r="A663" s="17">
        <v>17</v>
      </c>
      <c r="B663" s="18"/>
      <c r="C663" s="19">
        <v>84</v>
      </c>
      <c r="D663" s="18">
        <v>20</v>
      </c>
      <c r="E663" s="20" t="s">
        <v>9</v>
      </c>
    </row>
    <row r="664" spans="1:5" x14ac:dyDescent="0.3">
      <c r="A664" s="17">
        <v>17</v>
      </c>
      <c r="B664" s="18"/>
      <c r="C664" s="19">
        <v>48</v>
      </c>
      <c r="D664" s="18">
        <v>20</v>
      </c>
      <c r="E664" s="20" t="s">
        <v>9</v>
      </c>
    </row>
    <row r="665" spans="1:5" x14ac:dyDescent="0.3">
      <c r="A665" s="17">
        <v>17</v>
      </c>
      <c r="B665" s="18"/>
      <c r="C665" s="19">
        <v>49</v>
      </c>
      <c r="D665" s="18">
        <v>20</v>
      </c>
      <c r="E665" s="20" t="s">
        <v>9</v>
      </c>
    </row>
    <row r="666" spans="1:5" x14ac:dyDescent="0.3">
      <c r="A666" s="17">
        <v>17</v>
      </c>
      <c r="B666" s="18"/>
      <c r="C666" s="19">
        <v>94</v>
      </c>
      <c r="D666" s="18">
        <v>20</v>
      </c>
      <c r="E666" s="20" t="s">
        <v>9</v>
      </c>
    </row>
    <row r="667" spans="1:5" x14ac:dyDescent="0.3">
      <c r="A667" s="17">
        <v>17</v>
      </c>
      <c r="B667" s="18"/>
      <c r="C667" s="19">
        <v>73</v>
      </c>
      <c r="D667" s="18">
        <v>20</v>
      </c>
      <c r="E667" s="20" t="s">
        <v>9</v>
      </c>
    </row>
    <row r="668" spans="1:5" x14ac:dyDescent="0.3">
      <c r="A668" s="17">
        <v>17</v>
      </c>
      <c r="B668" s="18"/>
      <c r="C668" s="19">
        <v>37</v>
      </c>
      <c r="D668" s="18">
        <v>20</v>
      </c>
      <c r="E668" s="20" t="s">
        <v>9</v>
      </c>
    </row>
    <row r="669" spans="1:5" x14ac:dyDescent="0.3">
      <c r="A669" s="17">
        <v>17</v>
      </c>
      <c r="B669" s="18"/>
      <c r="C669" s="9">
        <v>93</v>
      </c>
      <c r="D669" s="18">
        <v>20</v>
      </c>
      <c r="E669" s="16" t="s">
        <v>10</v>
      </c>
    </row>
    <row r="670" spans="1:5" x14ac:dyDescent="0.3">
      <c r="A670" s="17">
        <v>17</v>
      </c>
      <c r="B670" s="18"/>
      <c r="C670" s="9">
        <v>39</v>
      </c>
      <c r="D670" s="18">
        <v>20</v>
      </c>
      <c r="E670" s="16" t="s">
        <v>10</v>
      </c>
    </row>
    <row r="671" spans="1:5" x14ac:dyDescent="0.3">
      <c r="A671" s="17">
        <v>17</v>
      </c>
      <c r="B671" s="18"/>
      <c r="C671" s="9">
        <v>84</v>
      </c>
      <c r="D671" s="18">
        <v>20</v>
      </c>
      <c r="E671" s="16" t="s">
        <v>10</v>
      </c>
    </row>
    <row r="672" spans="1:5" x14ac:dyDescent="0.3">
      <c r="A672" s="17">
        <v>17</v>
      </c>
      <c r="B672" s="18"/>
      <c r="C672" s="9">
        <v>48</v>
      </c>
      <c r="D672" s="18">
        <v>20</v>
      </c>
      <c r="E672" s="16" t="s">
        <v>10</v>
      </c>
    </row>
    <row r="673" spans="1:5" x14ac:dyDescent="0.3">
      <c r="A673" s="17">
        <v>17</v>
      </c>
      <c r="B673" s="18"/>
      <c r="C673" s="9">
        <v>49</v>
      </c>
      <c r="D673" s="18">
        <v>20</v>
      </c>
      <c r="E673" s="16" t="s">
        <v>10</v>
      </c>
    </row>
    <row r="674" spans="1:5" x14ac:dyDescent="0.3">
      <c r="A674" s="17">
        <v>17</v>
      </c>
      <c r="B674" s="18"/>
      <c r="C674" s="9">
        <v>94</v>
      </c>
      <c r="D674" s="18">
        <v>20</v>
      </c>
      <c r="E674" s="16" t="s">
        <v>10</v>
      </c>
    </row>
    <row r="675" spans="1:5" x14ac:dyDescent="0.3">
      <c r="A675" s="17">
        <v>17</v>
      </c>
      <c r="B675" s="18"/>
      <c r="C675" s="9">
        <v>73</v>
      </c>
      <c r="D675" s="18">
        <v>20</v>
      </c>
      <c r="E675" s="16" t="s">
        <v>10</v>
      </c>
    </row>
    <row r="676" spans="1:5" x14ac:dyDescent="0.3">
      <c r="A676" s="17">
        <v>17</v>
      </c>
      <c r="B676" s="18"/>
      <c r="C676" s="19">
        <v>37</v>
      </c>
      <c r="D676" s="18">
        <v>20</v>
      </c>
      <c r="E676" s="16" t="s">
        <v>10</v>
      </c>
    </row>
    <row r="677" spans="1:5" x14ac:dyDescent="0.3">
      <c r="A677" s="17">
        <v>17</v>
      </c>
      <c r="B677" s="18"/>
      <c r="C677" s="19">
        <v>86</v>
      </c>
      <c r="D677" s="18">
        <v>50</v>
      </c>
      <c r="E677" s="20" t="s">
        <v>9</v>
      </c>
    </row>
    <row r="678" spans="1:5" x14ac:dyDescent="0.3">
      <c r="A678" s="17">
        <v>17</v>
      </c>
      <c r="B678" s="18"/>
      <c r="C678" s="19">
        <v>68</v>
      </c>
      <c r="D678" s="18">
        <v>50</v>
      </c>
      <c r="E678" s="20" t="s">
        <v>9</v>
      </c>
    </row>
    <row r="679" spans="1:5" x14ac:dyDescent="0.3">
      <c r="A679" s="17">
        <v>17</v>
      </c>
      <c r="B679" s="18"/>
      <c r="C679" s="19">
        <v>67</v>
      </c>
      <c r="D679" s="18">
        <v>50</v>
      </c>
      <c r="E679" s="20" t="s">
        <v>9</v>
      </c>
    </row>
    <row r="680" spans="1:5" x14ac:dyDescent="0.3">
      <c r="A680" s="17">
        <v>17</v>
      </c>
      <c r="B680" s="18"/>
      <c r="C680" s="19">
        <v>76</v>
      </c>
      <c r="D680" s="18">
        <v>50</v>
      </c>
      <c r="E680" s="20" t="s">
        <v>9</v>
      </c>
    </row>
    <row r="681" spans="1:5" x14ac:dyDescent="0.3">
      <c r="A681" s="17">
        <v>17</v>
      </c>
      <c r="B681" s="18"/>
      <c r="C681" s="19">
        <v>66</v>
      </c>
      <c r="D681" s="18">
        <v>50</v>
      </c>
      <c r="E681" s="20" t="s">
        <v>9</v>
      </c>
    </row>
    <row r="682" spans="1:5" x14ac:dyDescent="0.3">
      <c r="A682" s="17">
        <v>17</v>
      </c>
      <c r="B682" s="18"/>
      <c r="C682" s="19">
        <v>14</v>
      </c>
      <c r="D682" s="18">
        <v>50</v>
      </c>
      <c r="E682" s="20" t="s">
        <v>9</v>
      </c>
    </row>
    <row r="683" spans="1:5" x14ac:dyDescent="0.3">
      <c r="A683" s="17">
        <v>17</v>
      </c>
      <c r="B683" s="18"/>
      <c r="C683" s="19">
        <v>41</v>
      </c>
      <c r="D683" s="18">
        <v>50</v>
      </c>
      <c r="E683" s="20" t="s">
        <v>9</v>
      </c>
    </row>
    <row r="684" spans="1:5" x14ac:dyDescent="0.3">
      <c r="A684" s="17">
        <v>17</v>
      </c>
      <c r="B684" s="18"/>
      <c r="C684" s="19">
        <v>18</v>
      </c>
      <c r="D684" s="18">
        <v>50</v>
      </c>
      <c r="E684" s="20" t="s">
        <v>9</v>
      </c>
    </row>
    <row r="685" spans="1:5" x14ac:dyDescent="0.3">
      <c r="A685" s="17">
        <v>17</v>
      </c>
      <c r="B685" s="18"/>
      <c r="C685" s="19">
        <v>81</v>
      </c>
      <c r="D685" s="18">
        <v>50</v>
      </c>
      <c r="E685" s="20" t="s">
        <v>9</v>
      </c>
    </row>
    <row r="686" spans="1:5" x14ac:dyDescent="0.3">
      <c r="A686" s="17">
        <v>17</v>
      </c>
      <c r="B686" s="18"/>
      <c r="C686" s="9">
        <v>86</v>
      </c>
      <c r="D686" s="18">
        <v>50</v>
      </c>
      <c r="E686" s="16" t="s">
        <v>10</v>
      </c>
    </row>
    <row r="687" spans="1:5" x14ac:dyDescent="0.3">
      <c r="A687" s="17">
        <v>17</v>
      </c>
      <c r="B687" s="18"/>
      <c r="C687" s="9">
        <v>68</v>
      </c>
      <c r="D687" s="18">
        <v>50</v>
      </c>
      <c r="E687" s="16" t="s">
        <v>10</v>
      </c>
    </row>
    <row r="688" spans="1:5" x14ac:dyDescent="0.3">
      <c r="A688" s="17">
        <v>17</v>
      </c>
      <c r="B688" s="18"/>
      <c r="C688" s="9">
        <v>67</v>
      </c>
      <c r="D688" s="18">
        <v>50</v>
      </c>
      <c r="E688" s="16" t="s">
        <v>10</v>
      </c>
    </row>
    <row r="689" spans="1:5" x14ac:dyDescent="0.3">
      <c r="A689" s="17">
        <v>17</v>
      </c>
      <c r="B689" s="18"/>
      <c r="C689" s="9">
        <v>76</v>
      </c>
      <c r="D689" s="18">
        <v>50</v>
      </c>
      <c r="E689" s="16" t="s">
        <v>10</v>
      </c>
    </row>
    <row r="690" spans="1:5" x14ac:dyDescent="0.3">
      <c r="A690" s="17">
        <v>17</v>
      </c>
      <c r="B690" s="18"/>
      <c r="C690" s="9">
        <v>66</v>
      </c>
      <c r="D690" s="18">
        <v>50</v>
      </c>
      <c r="E690" s="16" t="s">
        <v>10</v>
      </c>
    </row>
    <row r="691" spans="1:5" x14ac:dyDescent="0.3">
      <c r="A691" s="17">
        <v>17</v>
      </c>
      <c r="B691" s="18"/>
      <c r="C691" s="9">
        <v>14</v>
      </c>
      <c r="D691" s="18">
        <v>50</v>
      </c>
      <c r="E691" s="16" t="s">
        <v>10</v>
      </c>
    </row>
    <row r="692" spans="1:5" x14ac:dyDescent="0.3">
      <c r="A692" s="17">
        <v>17</v>
      </c>
      <c r="B692" s="18"/>
      <c r="C692" s="9">
        <v>41</v>
      </c>
      <c r="D692" s="18">
        <v>50</v>
      </c>
      <c r="E692" s="16" t="s">
        <v>10</v>
      </c>
    </row>
    <row r="693" spans="1:5" x14ac:dyDescent="0.3">
      <c r="A693" s="17">
        <v>17</v>
      </c>
      <c r="B693" s="18"/>
      <c r="C693" s="9">
        <v>18</v>
      </c>
      <c r="D693" s="18">
        <v>50</v>
      </c>
      <c r="E693" s="16" t="s">
        <v>10</v>
      </c>
    </row>
    <row r="694" spans="1:5" x14ac:dyDescent="0.3">
      <c r="A694" s="17">
        <v>17</v>
      </c>
      <c r="B694" s="18"/>
      <c r="C694" s="19">
        <v>81</v>
      </c>
      <c r="D694" s="18">
        <v>50</v>
      </c>
      <c r="E694" s="16" t="s">
        <v>10</v>
      </c>
    </row>
    <row r="695" spans="1:5" x14ac:dyDescent="0.3">
      <c r="A695" s="17">
        <v>17</v>
      </c>
      <c r="B695" s="18"/>
      <c r="C695" s="19">
        <v>17</v>
      </c>
      <c r="D695" s="18">
        <v>100</v>
      </c>
      <c r="E695" s="20" t="s">
        <v>9</v>
      </c>
    </row>
    <row r="696" spans="1:5" x14ac:dyDescent="0.3">
      <c r="A696" s="17">
        <v>17</v>
      </c>
      <c r="B696" s="18"/>
      <c r="C696" s="19">
        <v>71</v>
      </c>
      <c r="D696" s="18">
        <v>100</v>
      </c>
      <c r="E696" s="20" t="s">
        <v>9</v>
      </c>
    </row>
    <row r="697" spans="1:5" x14ac:dyDescent="0.3">
      <c r="A697" s="17">
        <v>17</v>
      </c>
      <c r="B697" s="18"/>
      <c r="C697" s="19">
        <v>76</v>
      </c>
      <c r="D697" s="18">
        <v>50</v>
      </c>
      <c r="E697" s="20" t="s">
        <v>9</v>
      </c>
    </row>
    <row r="698" spans="1:5" x14ac:dyDescent="0.3">
      <c r="A698" s="17">
        <v>17</v>
      </c>
      <c r="B698" s="18"/>
      <c r="C698" s="19">
        <v>67</v>
      </c>
      <c r="D698" s="18">
        <v>50</v>
      </c>
      <c r="E698" s="20" t="s">
        <v>9</v>
      </c>
    </row>
    <row r="699" spans="1:5" x14ac:dyDescent="0.3">
      <c r="A699" s="17">
        <v>17</v>
      </c>
      <c r="B699" s="18"/>
      <c r="C699" s="19">
        <v>87</v>
      </c>
      <c r="D699" s="18">
        <v>50</v>
      </c>
      <c r="E699" s="20" t="s">
        <v>9</v>
      </c>
    </row>
    <row r="700" spans="1:5" x14ac:dyDescent="0.3">
      <c r="A700" s="17">
        <v>17</v>
      </c>
      <c r="B700" s="18"/>
      <c r="C700" s="19">
        <v>78</v>
      </c>
      <c r="D700" s="18">
        <v>50</v>
      </c>
      <c r="E700" s="20" t="s">
        <v>9</v>
      </c>
    </row>
    <row r="701" spans="1:5" x14ac:dyDescent="0.3">
      <c r="A701" s="17">
        <v>17</v>
      </c>
      <c r="B701" s="18"/>
      <c r="C701" s="19">
        <v>86</v>
      </c>
      <c r="D701" s="18">
        <v>50</v>
      </c>
      <c r="E701" s="20" t="s">
        <v>9</v>
      </c>
    </row>
    <row r="702" spans="1:5" x14ac:dyDescent="0.3">
      <c r="A702" s="17">
        <v>17</v>
      </c>
      <c r="B702" s="18"/>
      <c r="C702" s="19">
        <v>68</v>
      </c>
      <c r="D702" s="18">
        <v>50</v>
      </c>
      <c r="E702" s="20" t="s">
        <v>9</v>
      </c>
    </row>
    <row r="703" spans="1:5" x14ac:dyDescent="0.3">
      <c r="A703" s="17">
        <v>17</v>
      </c>
      <c r="B703" s="18"/>
      <c r="C703" s="9">
        <v>17</v>
      </c>
      <c r="D703" s="18">
        <v>100</v>
      </c>
      <c r="E703" s="16" t="s">
        <v>10</v>
      </c>
    </row>
    <row r="704" spans="1:5" x14ac:dyDescent="0.3">
      <c r="A704" s="17">
        <v>17</v>
      </c>
      <c r="B704" s="18"/>
      <c r="C704" s="9">
        <v>71</v>
      </c>
      <c r="D704" s="18">
        <v>100</v>
      </c>
      <c r="E704" s="16" t="s">
        <v>10</v>
      </c>
    </row>
    <row r="705" spans="1:5" x14ac:dyDescent="0.3">
      <c r="A705" s="17">
        <v>17</v>
      </c>
      <c r="B705" s="18"/>
      <c r="C705" s="9">
        <v>76</v>
      </c>
      <c r="D705" s="18">
        <v>50</v>
      </c>
      <c r="E705" s="16" t="s">
        <v>10</v>
      </c>
    </row>
    <row r="706" spans="1:5" x14ac:dyDescent="0.3">
      <c r="A706" s="17">
        <v>17</v>
      </c>
      <c r="B706" s="18"/>
      <c r="C706" s="9">
        <v>67</v>
      </c>
      <c r="D706" s="18">
        <v>50</v>
      </c>
      <c r="E706" s="16" t="s">
        <v>10</v>
      </c>
    </row>
    <row r="707" spans="1:5" x14ac:dyDescent="0.3">
      <c r="A707" s="17">
        <v>17</v>
      </c>
      <c r="B707" s="18"/>
      <c r="C707" s="9">
        <v>87</v>
      </c>
      <c r="D707" s="18">
        <v>50</v>
      </c>
      <c r="E707" s="16" t="s">
        <v>10</v>
      </c>
    </row>
    <row r="708" spans="1:5" x14ac:dyDescent="0.3">
      <c r="A708" s="17">
        <v>17</v>
      </c>
      <c r="B708" s="18"/>
      <c r="C708" s="9">
        <v>78</v>
      </c>
      <c r="D708" s="18">
        <v>50</v>
      </c>
      <c r="E708" s="16" t="s">
        <v>10</v>
      </c>
    </row>
    <row r="709" spans="1:5" x14ac:dyDescent="0.3">
      <c r="A709" s="17">
        <v>17</v>
      </c>
      <c r="B709" s="18"/>
      <c r="C709" s="9">
        <v>86</v>
      </c>
      <c r="D709" s="18">
        <v>50</v>
      </c>
      <c r="E709" s="16" t="s">
        <v>10</v>
      </c>
    </row>
    <row r="710" spans="1:5" x14ac:dyDescent="0.3">
      <c r="A710" s="17">
        <v>17</v>
      </c>
      <c r="B710" s="18"/>
      <c r="C710" s="19">
        <v>68</v>
      </c>
      <c r="D710" s="18">
        <v>50</v>
      </c>
      <c r="E710" s="16" t="s">
        <v>10</v>
      </c>
    </row>
    <row r="711" spans="1:5" x14ac:dyDescent="0.3">
      <c r="A711" s="17">
        <v>17</v>
      </c>
      <c r="B711" s="18"/>
      <c r="C711" s="19">
        <v>7</v>
      </c>
      <c r="D711" s="18">
        <v>50</v>
      </c>
      <c r="E711" s="20" t="s">
        <v>9</v>
      </c>
    </row>
    <row r="712" spans="1:5" x14ac:dyDescent="0.3">
      <c r="A712" s="17">
        <v>17</v>
      </c>
      <c r="B712" s="18"/>
      <c r="C712" s="19">
        <v>70</v>
      </c>
      <c r="D712" s="18">
        <v>50</v>
      </c>
      <c r="E712" s="20" t="s">
        <v>9</v>
      </c>
    </row>
    <row r="713" spans="1:5" x14ac:dyDescent="0.3">
      <c r="A713" s="17">
        <v>17</v>
      </c>
      <c r="B713" s="18"/>
      <c r="C713" s="9">
        <v>7</v>
      </c>
      <c r="D713" s="18">
        <v>50</v>
      </c>
      <c r="E713" s="16" t="s">
        <v>10</v>
      </c>
    </row>
    <row r="714" spans="1:5" x14ac:dyDescent="0.3">
      <c r="A714" s="17">
        <v>17</v>
      </c>
      <c r="B714" s="18"/>
      <c r="C714" s="19">
        <v>70</v>
      </c>
      <c r="D714" s="18">
        <v>50</v>
      </c>
      <c r="E714" s="16" t="s">
        <v>10</v>
      </c>
    </row>
    <row r="715" spans="1:5" x14ac:dyDescent="0.3">
      <c r="A715" s="17">
        <v>31</v>
      </c>
      <c r="B715" s="18"/>
      <c r="C715" s="19">
        <v>15</v>
      </c>
      <c r="D715" s="18">
        <v>50</v>
      </c>
      <c r="E715" s="20" t="s">
        <v>9</v>
      </c>
    </row>
    <row r="716" spans="1:5" x14ac:dyDescent="0.3">
      <c r="A716" s="17">
        <v>31</v>
      </c>
      <c r="B716" s="18"/>
      <c r="C716" s="19">
        <v>5</v>
      </c>
      <c r="D716" s="18">
        <v>50</v>
      </c>
      <c r="E716" s="20" t="s">
        <v>9</v>
      </c>
    </row>
    <row r="717" spans="1:5" x14ac:dyDescent="0.3">
      <c r="A717" s="17">
        <v>31</v>
      </c>
      <c r="B717" s="18"/>
      <c r="C717" s="19">
        <v>15</v>
      </c>
      <c r="D717" s="18">
        <v>50</v>
      </c>
      <c r="E717" s="20" t="s">
        <v>10</v>
      </c>
    </row>
    <row r="718" spans="1:5" x14ac:dyDescent="0.3">
      <c r="A718" s="17">
        <v>31</v>
      </c>
      <c r="B718" s="18"/>
      <c r="C718" s="19">
        <v>5</v>
      </c>
      <c r="D718" s="18">
        <v>50</v>
      </c>
      <c r="E718" s="20" t="s">
        <v>10</v>
      </c>
    </row>
    <row r="719" spans="1:5" x14ac:dyDescent="0.3">
      <c r="A719" s="17">
        <v>21</v>
      </c>
      <c r="B719" s="18"/>
      <c r="C719" s="19">
        <v>10</v>
      </c>
      <c r="D719" s="18">
        <v>50</v>
      </c>
      <c r="E719" s="20" t="s">
        <v>9</v>
      </c>
    </row>
    <row r="720" spans="1:5" x14ac:dyDescent="0.3">
      <c r="A720" s="17">
        <v>21</v>
      </c>
      <c r="B720" s="18"/>
      <c r="C720" s="19">
        <v>1</v>
      </c>
      <c r="D720" s="18">
        <v>50</v>
      </c>
      <c r="E720" s="20" t="s">
        <v>9</v>
      </c>
    </row>
    <row r="721" spans="1:5" x14ac:dyDescent="0.3">
      <c r="A721" s="17">
        <v>21</v>
      </c>
      <c r="B721" s="18"/>
      <c r="C721" s="9">
        <v>10</v>
      </c>
      <c r="D721" s="18">
        <v>50</v>
      </c>
      <c r="E721" s="16" t="s">
        <v>10</v>
      </c>
    </row>
    <row r="722" spans="1:5" x14ac:dyDescent="0.3">
      <c r="A722" s="17">
        <v>21</v>
      </c>
      <c r="B722" s="18"/>
      <c r="C722" s="19">
        <v>1</v>
      </c>
      <c r="D722" s="18">
        <v>50</v>
      </c>
      <c r="E722" s="16" t="s">
        <v>10</v>
      </c>
    </row>
    <row r="723" spans="1:5" x14ac:dyDescent="0.3">
      <c r="A723" s="17">
        <v>32</v>
      </c>
      <c r="B723" s="18"/>
      <c r="C723" s="19">
        <v>97</v>
      </c>
      <c r="D723" s="18">
        <v>30</v>
      </c>
      <c r="E723" s="20" t="s">
        <v>9</v>
      </c>
    </row>
    <row r="724" spans="1:5" x14ac:dyDescent="0.3">
      <c r="A724" s="17">
        <v>32</v>
      </c>
      <c r="B724" s="18"/>
      <c r="C724" s="19">
        <v>79</v>
      </c>
      <c r="D724" s="18">
        <v>30</v>
      </c>
      <c r="E724" s="20" t="s">
        <v>9</v>
      </c>
    </row>
    <row r="725" spans="1:5" x14ac:dyDescent="0.3">
      <c r="A725" s="17">
        <v>32</v>
      </c>
      <c r="B725" s="18"/>
      <c r="C725" s="19">
        <v>37</v>
      </c>
      <c r="D725" s="18">
        <v>30</v>
      </c>
      <c r="E725" s="20" t="s">
        <v>9</v>
      </c>
    </row>
    <row r="726" spans="1:5" x14ac:dyDescent="0.3">
      <c r="A726" s="17">
        <v>32</v>
      </c>
      <c r="B726" s="18"/>
      <c r="C726" s="19">
        <v>73</v>
      </c>
      <c r="D726" s="18">
        <v>30</v>
      </c>
      <c r="E726" s="20" t="s">
        <v>9</v>
      </c>
    </row>
    <row r="727" spans="1:5" x14ac:dyDescent="0.3">
      <c r="A727" s="17">
        <v>32</v>
      </c>
      <c r="B727" s="18"/>
      <c r="C727" s="19">
        <v>7</v>
      </c>
      <c r="D727" s="18">
        <v>20</v>
      </c>
      <c r="E727" s="20" t="s">
        <v>9</v>
      </c>
    </row>
    <row r="728" spans="1:5" x14ac:dyDescent="0.3">
      <c r="A728" s="17">
        <v>32</v>
      </c>
      <c r="B728" s="18"/>
      <c r="C728" s="19">
        <v>70</v>
      </c>
      <c r="D728" s="18">
        <v>20</v>
      </c>
      <c r="E728" s="20" t="s">
        <v>9</v>
      </c>
    </row>
    <row r="729" spans="1:5" x14ac:dyDescent="0.3">
      <c r="A729" s="17">
        <v>32</v>
      </c>
      <c r="B729" s="18"/>
      <c r="C729" s="19">
        <v>25</v>
      </c>
      <c r="D729" s="18">
        <v>30</v>
      </c>
      <c r="E729" s="20" t="s">
        <v>9</v>
      </c>
    </row>
    <row r="730" spans="1:5" x14ac:dyDescent="0.3">
      <c r="A730" s="17">
        <v>32</v>
      </c>
      <c r="B730" s="18"/>
      <c r="C730" s="19">
        <v>52</v>
      </c>
      <c r="D730" s="18">
        <v>30</v>
      </c>
      <c r="E730" s="20" t="s">
        <v>9</v>
      </c>
    </row>
    <row r="731" spans="1:5" x14ac:dyDescent="0.3">
      <c r="A731" s="17">
        <v>32</v>
      </c>
      <c r="B731" s="18"/>
      <c r="C731" s="19">
        <v>26</v>
      </c>
      <c r="D731" s="18">
        <v>30</v>
      </c>
      <c r="E731" s="20" t="s">
        <v>9</v>
      </c>
    </row>
    <row r="732" spans="1:5" x14ac:dyDescent="0.3">
      <c r="A732" s="17">
        <v>32</v>
      </c>
      <c r="B732" s="18"/>
      <c r="C732" s="19">
        <v>62</v>
      </c>
      <c r="D732" s="18">
        <v>30</v>
      </c>
      <c r="E732" s="20" t="s">
        <v>9</v>
      </c>
    </row>
    <row r="733" spans="1:5" x14ac:dyDescent="0.3">
      <c r="A733" s="17">
        <v>32</v>
      </c>
      <c r="B733" s="18"/>
      <c r="C733" s="19">
        <v>21</v>
      </c>
      <c r="D733" s="18">
        <v>50</v>
      </c>
      <c r="E733" s="20" t="s">
        <v>9</v>
      </c>
    </row>
    <row r="734" spans="1:5" x14ac:dyDescent="0.3">
      <c r="A734" s="17">
        <v>32</v>
      </c>
      <c r="B734" s="18"/>
      <c r="C734" s="19">
        <v>12</v>
      </c>
      <c r="D734" s="18">
        <v>50</v>
      </c>
      <c r="E734" s="20" t="s">
        <v>9</v>
      </c>
    </row>
    <row r="735" spans="1:5" x14ac:dyDescent="0.3">
      <c r="A735" s="17">
        <v>32</v>
      </c>
      <c r="B735" s="18"/>
      <c r="C735" s="19">
        <v>49</v>
      </c>
      <c r="D735" s="18">
        <v>20</v>
      </c>
      <c r="E735" s="20" t="s">
        <v>9</v>
      </c>
    </row>
    <row r="736" spans="1:5" x14ac:dyDescent="0.3">
      <c r="A736" s="17">
        <v>32</v>
      </c>
      <c r="B736" s="18"/>
      <c r="C736" s="19">
        <v>94</v>
      </c>
      <c r="D736" s="18">
        <v>20</v>
      </c>
      <c r="E736" s="20" t="s">
        <v>9</v>
      </c>
    </row>
    <row r="737" spans="1:5" x14ac:dyDescent="0.3">
      <c r="A737" s="17">
        <v>32</v>
      </c>
      <c r="B737" s="18"/>
      <c r="C737" s="19">
        <v>69</v>
      </c>
      <c r="D737" s="18">
        <v>20</v>
      </c>
      <c r="E737" s="20" t="s">
        <v>9</v>
      </c>
    </row>
    <row r="738" spans="1:5" x14ac:dyDescent="0.3">
      <c r="A738" s="17">
        <v>32</v>
      </c>
      <c r="B738" s="18"/>
      <c r="C738" s="19">
        <v>96</v>
      </c>
      <c r="D738" s="18">
        <v>20</v>
      </c>
      <c r="E738" s="20" t="s">
        <v>9</v>
      </c>
    </row>
    <row r="739" spans="1:5" x14ac:dyDescent="0.3">
      <c r="A739" s="17">
        <v>32</v>
      </c>
      <c r="B739" s="18"/>
      <c r="C739" s="19">
        <v>3</v>
      </c>
      <c r="D739" s="18">
        <v>10</v>
      </c>
      <c r="E739" s="20" t="s">
        <v>9</v>
      </c>
    </row>
    <row r="740" spans="1:5" x14ac:dyDescent="0.3">
      <c r="A740" s="17">
        <v>32</v>
      </c>
      <c r="B740" s="18"/>
      <c r="C740" s="19">
        <v>30</v>
      </c>
      <c r="D740" s="18">
        <v>10</v>
      </c>
      <c r="E740" s="20" t="s">
        <v>9</v>
      </c>
    </row>
    <row r="741" spans="1:5" x14ac:dyDescent="0.3">
      <c r="A741" s="17">
        <v>32</v>
      </c>
      <c r="B741" s="18"/>
      <c r="C741" s="19">
        <v>5</v>
      </c>
      <c r="D741" s="18">
        <v>10</v>
      </c>
      <c r="E741" s="20" t="s">
        <v>9</v>
      </c>
    </row>
    <row r="742" spans="1:5" x14ac:dyDescent="0.3">
      <c r="A742" s="17">
        <v>32</v>
      </c>
      <c r="B742" s="18"/>
      <c r="C742" s="19">
        <v>50</v>
      </c>
      <c r="D742" s="18">
        <v>10</v>
      </c>
      <c r="E742" s="20" t="s">
        <v>9</v>
      </c>
    </row>
    <row r="743" spans="1:5" x14ac:dyDescent="0.3">
      <c r="A743" s="17">
        <v>32</v>
      </c>
      <c r="B743" s="18"/>
      <c r="C743" s="19">
        <v>93</v>
      </c>
      <c r="D743" s="18">
        <v>10</v>
      </c>
      <c r="E743" s="20" t="s">
        <v>9</v>
      </c>
    </row>
    <row r="744" spans="1:5" x14ac:dyDescent="0.3">
      <c r="A744" s="17">
        <v>32</v>
      </c>
      <c r="B744" s="18"/>
      <c r="C744" s="19">
        <v>39</v>
      </c>
      <c r="D744" s="18">
        <v>10</v>
      </c>
      <c r="E744" s="20" t="s">
        <v>9</v>
      </c>
    </row>
    <row r="745" spans="1:5" x14ac:dyDescent="0.3">
      <c r="A745" s="17">
        <v>32</v>
      </c>
      <c r="B745" s="18"/>
      <c r="C745" s="19">
        <v>27</v>
      </c>
      <c r="D745" s="18">
        <v>50</v>
      </c>
      <c r="E745" s="20" t="s">
        <v>9</v>
      </c>
    </row>
    <row r="746" spans="1:5" x14ac:dyDescent="0.3">
      <c r="A746" s="17">
        <v>32</v>
      </c>
      <c r="B746" s="18"/>
      <c r="C746" s="19">
        <v>72</v>
      </c>
      <c r="D746" s="18">
        <v>50</v>
      </c>
      <c r="E746" s="20" t="s">
        <v>9</v>
      </c>
    </row>
    <row r="747" spans="1:5" x14ac:dyDescent="0.3">
      <c r="A747" s="17">
        <v>32</v>
      </c>
      <c r="B747" s="18"/>
      <c r="C747" s="19">
        <v>56</v>
      </c>
      <c r="D747" s="18">
        <v>20</v>
      </c>
      <c r="E747" s="20" t="s">
        <v>9</v>
      </c>
    </row>
    <row r="748" spans="1:5" x14ac:dyDescent="0.3">
      <c r="A748" s="17">
        <v>32</v>
      </c>
      <c r="B748" s="18"/>
      <c r="C748" s="19">
        <v>65</v>
      </c>
      <c r="D748" s="18">
        <v>20</v>
      </c>
      <c r="E748" s="20" t="s">
        <v>9</v>
      </c>
    </row>
    <row r="749" spans="1:5" x14ac:dyDescent="0.3">
      <c r="A749" s="17">
        <v>32</v>
      </c>
      <c r="B749" s="18"/>
      <c r="C749" s="19">
        <v>42</v>
      </c>
      <c r="D749" s="18">
        <v>50</v>
      </c>
      <c r="E749" s="20" t="s">
        <v>9</v>
      </c>
    </row>
    <row r="750" spans="1:5" x14ac:dyDescent="0.3">
      <c r="A750" s="17">
        <v>32</v>
      </c>
      <c r="B750" s="18"/>
      <c r="C750" s="19">
        <v>24</v>
      </c>
      <c r="D750" s="18">
        <v>50</v>
      </c>
      <c r="E750" s="20" t="s">
        <v>9</v>
      </c>
    </row>
    <row r="751" spans="1:5" x14ac:dyDescent="0.3">
      <c r="A751" s="17">
        <v>32</v>
      </c>
      <c r="B751" s="18"/>
      <c r="C751" s="19">
        <v>14</v>
      </c>
      <c r="D751" s="18">
        <v>20</v>
      </c>
      <c r="E751" s="20" t="s">
        <v>9</v>
      </c>
    </row>
    <row r="752" spans="1:5" x14ac:dyDescent="0.3">
      <c r="A752" s="17">
        <v>32</v>
      </c>
      <c r="B752" s="18"/>
      <c r="C752" s="19">
        <v>41</v>
      </c>
      <c r="D752" s="18">
        <v>20</v>
      </c>
      <c r="E752" s="20" t="s">
        <v>9</v>
      </c>
    </row>
    <row r="753" spans="1:5" x14ac:dyDescent="0.3">
      <c r="A753" s="17">
        <v>32</v>
      </c>
      <c r="B753" s="18"/>
      <c r="C753" s="19">
        <v>45</v>
      </c>
      <c r="D753" s="18">
        <v>20</v>
      </c>
      <c r="E753" s="20" t="s">
        <v>9</v>
      </c>
    </row>
    <row r="754" spans="1:5" x14ac:dyDescent="0.3">
      <c r="A754" s="17">
        <v>32</v>
      </c>
      <c r="B754" s="18"/>
      <c r="C754" s="19">
        <v>54</v>
      </c>
      <c r="D754" s="18">
        <v>20</v>
      </c>
      <c r="E754" s="20" t="s">
        <v>9</v>
      </c>
    </row>
    <row r="755" spans="1:5" x14ac:dyDescent="0.3">
      <c r="A755" s="17">
        <v>32</v>
      </c>
      <c r="B755" s="18"/>
      <c r="C755" s="19">
        <v>15</v>
      </c>
      <c r="D755" s="18">
        <v>30</v>
      </c>
      <c r="E755" s="20" t="s">
        <v>9</v>
      </c>
    </row>
    <row r="756" spans="1:5" x14ac:dyDescent="0.3">
      <c r="A756" s="17">
        <v>32</v>
      </c>
      <c r="B756" s="18"/>
      <c r="C756" s="19">
        <v>51</v>
      </c>
      <c r="D756" s="18">
        <v>30</v>
      </c>
      <c r="E756" s="20" t="s">
        <v>9</v>
      </c>
    </row>
    <row r="757" spans="1:5" x14ac:dyDescent="0.3">
      <c r="A757" s="17">
        <v>32</v>
      </c>
      <c r="B757" s="18"/>
      <c r="C757" s="19">
        <v>47</v>
      </c>
      <c r="D757" s="18">
        <v>30</v>
      </c>
      <c r="E757" s="20" t="s">
        <v>9</v>
      </c>
    </row>
    <row r="758" spans="1:5" x14ac:dyDescent="0.3">
      <c r="A758" s="17">
        <v>32</v>
      </c>
      <c r="B758" s="18"/>
      <c r="C758" s="19">
        <v>74</v>
      </c>
      <c r="D758" s="18">
        <v>30</v>
      </c>
      <c r="E758" s="20" t="s">
        <v>9</v>
      </c>
    </row>
    <row r="759" spans="1:5" x14ac:dyDescent="0.3">
      <c r="A759" s="17">
        <v>32</v>
      </c>
      <c r="B759" s="18"/>
      <c r="C759" s="19">
        <v>17</v>
      </c>
      <c r="D759" s="18">
        <v>30</v>
      </c>
      <c r="E759" s="20" t="s">
        <v>9</v>
      </c>
    </row>
    <row r="760" spans="1:5" x14ac:dyDescent="0.3">
      <c r="A760" s="17">
        <v>32</v>
      </c>
      <c r="B760" s="18"/>
      <c r="C760" s="19">
        <v>71</v>
      </c>
      <c r="D760" s="18">
        <v>30</v>
      </c>
      <c r="E760" s="20" t="s">
        <v>9</v>
      </c>
    </row>
    <row r="761" spans="1:5" x14ac:dyDescent="0.3">
      <c r="A761" s="17">
        <v>32</v>
      </c>
      <c r="B761" s="18"/>
      <c r="C761" s="19">
        <v>48</v>
      </c>
      <c r="D761" s="18">
        <v>20</v>
      </c>
      <c r="E761" s="20" t="s">
        <v>9</v>
      </c>
    </row>
    <row r="762" spans="1:5" x14ac:dyDescent="0.3">
      <c r="A762" s="17">
        <v>32</v>
      </c>
      <c r="B762" s="18"/>
      <c r="C762" s="19">
        <v>84</v>
      </c>
      <c r="D762" s="18">
        <v>20</v>
      </c>
      <c r="E762" s="20" t="s">
        <v>9</v>
      </c>
    </row>
    <row r="763" spans="1:5" x14ac:dyDescent="0.3">
      <c r="A763" s="17">
        <v>32</v>
      </c>
      <c r="B763" s="18"/>
      <c r="C763" s="19">
        <v>18</v>
      </c>
      <c r="D763" s="18">
        <v>20</v>
      </c>
      <c r="E763" s="20" t="s">
        <v>9</v>
      </c>
    </row>
    <row r="764" spans="1:5" x14ac:dyDescent="0.3">
      <c r="A764" s="17">
        <v>32</v>
      </c>
      <c r="B764" s="18"/>
      <c r="C764" s="19">
        <v>81</v>
      </c>
      <c r="D764" s="18">
        <v>20</v>
      </c>
      <c r="E764" s="20" t="s">
        <v>9</v>
      </c>
    </row>
    <row r="765" spans="1:5" x14ac:dyDescent="0.3">
      <c r="A765" s="17">
        <v>32</v>
      </c>
      <c r="B765" s="18"/>
      <c r="C765" s="19">
        <v>46</v>
      </c>
      <c r="D765" s="18">
        <v>20</v>
      </c>
      <c r="E765" s="20" t="s">
        <v>9</v>
      </c>
    </row>
    <row r="766" spans="1:5" x14ac:dyDescent="0.3">
      <c r="A766" s="17">
        <v>32</v>
      </c>
      <c r="B766" s="18"/>
      <c r="C766" s="19">
        <v>64</v>
      </c>
      <c r="D766" s="18">
        <v>20</v>
      </c>
      <c r="E766" s="20" t="s">
        <v>9</v>
      </c>
    </row>
    <row r="767" spans="1:5" x14ac:dyDescent="0.3">
      <c r="A767" s="17">
        <v>32</v>
      </c>
      <c r="B767" s="18"/>
      <c r="C767" s="19">
        <v>16</v>
      </c>
      <c r="D767" s="18">
        <v>20</v>
      </c>
      <c r="E767" s="20" t="s">
        <v>9</v>
      </c>
    </row>
    <row r="768" spans="1:5" x14ac:dyDescent="0.3">
      <c r="A768" s="17">
        <v>32</v>
      </c>
      <c r="B768" s="18"/>
      <c r="C768" s="19">
        <v>61</v>
      </c>
      <c r="D768" s="18">
        <v>20</v>
      </c>
      <c r="E768" s="20" t="s">
        <v>9</v>
      </c>
    </row>
    <row r="769" spans="1:5" x14ac:dyDescent="0.3">
      <c r="A769" s="17">
        <v>32</v>
      </c>
      <c r="B769" s="18"/>
      <c r="C769" s="19">
        <v>57</v>
      </c>
      <c r="D769" s="18">
        <v>50</v>
      </c>
      <c r="E769" s="20" t="s">
        <v>9</v>
      </c>
    </row>
    <row r="770" spans="1:5" x14ac:dyDescent="0.3">
      <c r="A770" s="17">
        <v>32</v>
      </c>
      <c r="B770" s="18"/>
      <c r="C770" s="19">
        <v>75</v>
      </c>
      <c r="D770" s="18">
        <v>50</v>
      </c>
      <c r="E770" s="20" t="s">
        <v>9</v>
      </c>
    </row>
    <row r="771" spans="1:5" x14ac:dyDescent="0.3">
      <c r="A771" s="17">
        <v>32</v>
      </c>
      <c r="B771" s="18"/>
      <c r="C771" s="19">
        <v>95</v>
      </c>
      <c r="D771" s="18">
        <v>50</v>
      </c>
      <c r="E771" s="20" t="s">
        <v>9</v>
      </c>
    </row>
    <row r="772" spans="1:5" x14ac:dyDescent="0.3">
      <c r="A772" s="17">
        <v>32</v>
      </c>
      <c r="B772" s="18"/>
      <c r="C772" s="19">
        <v>59</v>
      </c>
      <c r="D772" s="18">
        <v>50</v>
      </c>
      <c r="E772" s="20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3" name="Button 7">
              <controlPr defaultSize="0" print="0" autoFill="0" autoPict="0" macro="[0]!RunAll">
                <anchor moveWithCells="1" sizeWithCells="1">
                  <from>
                    <xdr:col>5</xdr:col>
                    <xdr:colOff>381000</xdr:colOff>
                    <xdr:row>0</xdr:row>
                    <xdr:rowOff>152400</xdr:rowOff>
                  </from>
                  <to>
                    <xdr:col>7</xdr:col>
                    <xdr:colOff>373380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72F43-F587-494F-8288-869ACD496C17}">
  <sheetPr codeName="Sheet2"/>
  <dimension ref="A1:F35"/>
  <sheetViews>
    <sheetView workbookViewId="0">
      <selection activeCell="B22" sqref="B22"/>
    </sheetView>
  </sheetViews>
  <sheetFormatPr defaultRowHeight="14.4" x14ac:dyDescent="0.3"/>
  <cols>
    <col min="1" max="1" width="29.109375" bestFit="1" customWidth="1"/>
    <col min="2" max="2" width="17.5546875" customWidth="1"/>
    <col min="3" max="3" width="17.33203125" customWidth="1"/>
    <col min="4" max="4" width="15.5546875" customWidth="1"/>
    <col min="5" max="5" width="15" bestFit="1" customWidth="1"/>
    <col min="6" max="6" width="13.88671875" customWidth="1"/>
  </cols>
  <sheetData>
    <row r="1" spans="1:6" ht="30" x14ac:dyDescent="0.5">
      <c r="A1" s="4" t="s">
        <v>6</v>
      </c>
      <c r="B1" s="30" t="s">
        <v>17</v>
      </c>
      <c r="C1" s="29">
        <f>SUM(Table11[Sale (THB)])</f>
        <v>92330</v>
      </c>
      <c r="E1" s="37">
        <f>SUM(Table11[Discount])</f>
        <v>17725.7</v>
      </c>
      <c r="F1" s="29">
        <f>SUM(Table11[Income])</f>
        <v>74604.3</v>
      </c>
    </row>
    <row r="3" spans="1:6" s="26" customFormat="1" ht="25.05" customHeight="1" x14ac:dyDescent="0.3">
      <c r="A3" s="21" t="s">
        <v>0</v>
      </c>
      <c r="B3" s="22" t="s">
        <v>7</v>
      </c>
      <c r="C3" s="22" t="s">
        <v>29</v>
      </c>
      <c r="D3" s="22" t="s">
        <v>15</v>
      </c>
      <c r="E3" s="22" t="s">
        <v>14</v>
      </c>
      <c r="F3" s="23" t="s">
        <v>28</v>
      </c>
    </row>
    <row r="4" spans="1:6" ht="15.6" x14ac:dyDescent="0.3">
      <c r="A4" s="15">
        <v>1</v>
      </c>
      <c r="B4" s="5"/>
      <c r="C4" s="5">
        <v>1800</v>
      </c>
      <c r="D4" s="5">
        <v>10</v>
      </c>
      <c r="E4" s="5">
        <f t="shared" ref="E4:E35" si="0">C4*D4%</f>
        <v>180</v>
      </c>
      <c r="F4" s="16">
        <f t="shared" ref="F4:F35" si="1">C4-E4</f>
        <v>1620</v>
      </c>
    </row>
    <row r="5" spans="1:6" ht="15.6" x14ac:dyDescent="0.3">
      <c r="A5" s="15">
        <v>2</v>
      </c>
      <c r="B5" s="5"/>
      <c r="C5" s="5">
        <v>300</v>
      </c>
      <c r="D5" s="5">
        <v>0</v>
      </c>
      <c r="E5" s="5">
        <f t="shared" si="0"/>
        <v>0</v>
      </c>
      <c r="F5" s="16">
        <f t="shared" si="1"/>
        <v>300</v>
      </c>
    </row>
    <row r="6" spans="1:6" ht="15.6" x14ac:dyDescent="0.3">
      <c r="A6" s="15">
        <v>3</v>
      </c>
      <c r="B6" s="5"/>
      <c r="C6" s="5">
        <v>7700</v>
      </c>
      <c r="D6" s="5">
        <v>20</v>
      </c>
      <c r="E6" s="5">
        <f t="shared" si="0"/>
        <v>1540</v>
      </c>
      <c r="F6" s="16">
        <f t="shared" si="1"/>
        <v>6160</v>
      </c>
    </row>
    <row r="7" spans="1:6" ht="15.6" x14ac:dyDescent="0.3">
      <c r="A7" s="15">
        <v>4</v>
      </c>
      <c r="B7" s="5"/>
      <c r="C7" s="5">
        <v>470</v>
      </c>
      <c r="D7" s="5">
        <v>20</v>
      </c>
      <c r="E7" s="5">
        <f t="shared" si="0"/>
        <v>94</v>
      </c>
      <c r="F7" s="16">
        <f t="shared" si="1"/>
        <v>376</v>
      </c>
    </row>
    <row r="8" spans="1:6" ht="15.6" x14ac:dyDescent="0.3">
      <c r="A8" s="15">
        <v>5</v>
      </c>
      <c r="B8" s="5"/>
      <c r="C8" s="5">
        <v>1250</v>
      </c>
      <c r="D8" s="5">
        <v>10</v>
      </c>
      <c r="E8" s="5">
        <f t="shared" si="0"/>
        <v>125</v>
      </c>
      <c r="F8" s="16">
        <f t="shared" si="1"/>
        <v>1125</v>
      </c>
    </row>
    <row r="9" spans="1:6" ht="15.6" x14ac:dyDescent="0.3">
      <c r="A9" s="15">
        <v>6</v>
      </c>
      <c r="B9" s="5"/>
      <c r="C9" s="5">
        <v>2000</v>
      </c>
      <c r="D9" s="5">
        <v>20</v>
      </c>
      <c r="E9" s="5">
        <f t="shared" si="0"/>
        <v>400</v>
      </c>
      <c r="F9" s="16">
        <f t="shared" si="1"/>
        <v>1600</v>
      </c>
    </row>
    <row r="10" spans="1:6" ht="15.6" x14ac:dyDescent="0.3">
      <c r="A10" s="15">
        <v>7</v>
      </c>
      <c r="B10" s="5"/>
      <c r="C10" s="5">
        <v>7550</v>
      </c>
      <c r="D10" s="5">
        <v>30</v>
      </c>
      <c r="E10" s="5">
        <f t="shared" si="0"/>
        <v>2265</v>
      </c>
      <c r="F10" s="16">
        <f t="shared" si="1"/>
        <v>5285</v>
      </c>
    </row>
    <row r="11" spans="1:6" ht="15.6" x14ac:dyDescent="0.3">
      <c r="A11" s="15">
        <v>8</v>
      </c>
      <c r="B11" s="5"/>
      <c r="C11" s="5">
        <v>200</v>
      </c>
      <c r="D11" s="5">
        <v>0</v>
      </c>
      <c r="E11" s="5">
        <f t="shared" si="0"/>
        <v>0</v>
      </c>
      <c r="F11" s="16">
        <f t="shared" si="1"/>
        <v>200</v>
      </c>
    </row>
    <row r="12" spans="1:6" ht="15.6" x14ac:dyDescent="0.3">
      <c r="A12" s="15">
        <v>9</v>
      </c>
      <c r="B12" s="5"/>
      <c r="C12" s="5">
        <v>7500</v>
      </c>
      <c r="D12" s="5">
        <v>20</v>
      </c>
      <c r="E12" s="5">
        <f t="shared" si="0"/>
        <v>1500</v>
      </c>
      <c r="F12" s="16">
        <f t="shared" si="1"/>
        <v>6000</v>
      </c>
    </row>
    <row r="13" spans="1:6" ht="15.6" x14ac:dyDescent="0.3">
      <c r="A13" s="17">
        <v>10</v>
      </c>
      <c r="B13" s="18"/>
      <c r="C13" s="18">
        <v>1400</v>
      </c>
      <c r="D13" s="18">
        <v>10</v>
      </c>
      <c r="E13" s="18">
        <f t="shared" si="0"/>
        <v>140</v>
      </c>
      <c r="F13" s="20">
        <f t="shared" si="1"/>
        <v>1260</v>
      </c>
    </row>
    <row r="14" spans="1:6" ht="15.6" x14ac:dyDescent="0.3">
      <c r="A14" s="50">
        <v>11</v>
      </c>
      <c r="B14" s="51"/>
      <c r="C14" s="51">
        <v>320</v>
      </c>
      <c r="D14" s="51">
        <v>10</v>
      </c>
      <c r="E14" s="51">
        <f t="shared" si="0"/>
        <v>32</v>
      </c>
      <c r="F14" s="52">
        <f t="shared" si="1"/>
        <v>288</v>
      </c>
    </row>
    <row r="15" spans="1:6" ht="15.6" x14ac:dyDescent="0.3">
      <c r="A15" s="17">
        <v>12</v>
      </c>
      <c r="B15" s="18"/>
      <c r="C15" s="18">
        <v>3400</v>
      </c>
      <c r="D15" s="18">
        <v>10</v>
      </c>
      <c r="E15" s="18">
        <f t="shared" si="0"/>
        <v>340</v>
      </c>
      <c r="F15" s="20">
        <f t="shared" si="1"/>
        <v>3060</v>
      </c>
    </row>
    <row r="16" spans="1:6" ht="15.6" x14ac:dyDescent="0.3">
      <c r="A16" s="17">
        <v>13</v>
      </c>
      <c r="B16" s="18"/>
      <c r="C16" s="18">
        <v>2800</v>
      </c>
      <c r="D16" s="18">
        <v>20</v>
      </c>
      <c r="E16" s="18">
        <f t="shared" si="0"/>
        <v>560</v>
      </c>
      <c r="F16" s="20">
        <f t="shared" si="1"/>
        <v>2240</v>
      </c>
    </row>
    <row r="17" spans="1:6" ht="15.6" x14ac:dyDescent="0.3">
      <c r="A17" s="17">
        <v>14</v>
      </c>
      <c r="B17" s="18"/>
      <c r="C17" s="18">
        <v>7200</v>
      </c>
      <c r="D17" s="18">
        <v>20</v>
      </c>
      <c r="E17" s="18">
        <f t="shared" si="0"/>
        <v>1440</v>
      </c>
      <c r="F17" s="20">
        <f t="shared" si="1"/>
        <v>5760</v>
      </c>
    </row>
    <row r="18" spans="1:6" ht="15.6" x14ac:dyDescent="0.3">
      <c r="A18" s="17">
        <v>15</v>
      </c>
      <c r="B18" s="18"/>
      <c r="C18" s="18">
        <v>2860</v>
      </c>
      <c r="D18" s="18">
        <v>10</v>
      </c>
      <c r="E18" s="18">
        <f t="shared" si="0"/>
        <v>286</v>
      </c>
      <c r="F18" s="20">
        <f t="shared" si="1"/>
        <v>2574</v>
      </c>
    </row>
    <row r="19" spans="1:6" ht="15.6" x14ac:dyDescent="0.3">
      <c r="A19" s="17">
        <v>16</v>
      </c>
      <c r="B19" s="18"/>
      <c r="C19" s="18">
        <v>8800</v>
      </c>
      <c r="D19" s="18">
        <v>10</v>
      </c>
      <c r="E19" s="18">
        <f t="shared" si="0"/>
        <v>880</v>
      </c>
      <c r="F19" s="20">
        <f t="shared" si="1"/>
        <v>7920</v>
      </c>
    </row>
    <row r="20" spans="1:6" ht="15.6" x14ac:dyDescent="0.3">
      <c r="A20" s="17">
        <v>17</v>
      </c>
      <c r="B20" s="18"/>
      <c r="C20" s="18">
        <v>7880</v>
      </c>
      <c r="D20" s="18">
        <v>30</v>
      </c>
      <c r="E20" s="18">
        <f t="shared" si="0"/>
        <v>2364</v>
      </c>
      <c r="F20" s="20">
        <f t="shared" si="1"/>
        <v>5516</v>
      </c>
    </row>
    <row r="21" spans="1:6" ht="15.6" x14ac:dyDescent="0.3">
      <c r="A21" s="17">
        <v>18</v>
      </c>
      <c r="B21" s="18"/>
      <c r="C21" s="18">
        <v>320</v>
      </c>
      <c r="D21" s="18">
        <v>0</v>
      </c>
      <c r="E21" s="18">
        <f t="shared" si="0"/>
        <v>0</v>
      </c>
      <c r="F21" s="20">
        <f t="shared" si="1"/>
        <v>320</v>
      </c>
    </row>
    <row r="22" spans="1:6" ht="15.6" x14ac:dyDescent="0.3">
      <c r="A22" s="17">
        <v>19</v>
      </c>
      <c r="B22" s="18"/>
      <c r="C22" s="18">
        <v>1760</v>
      </c>
      <c r="D22" s="18">
        <v>20</v>
      </c>
      <c r="E22" s="18">
        <f t="shared" si="0"/>
        <v>352</v>
      </c>
      <c r="F22" s="20">
        <f t="shared" si="1"/>
        <v>1408</v>
      </c>
    </row>
    <row r="23" spans="1:6" ht="15.6" x14ac:dyDescent="0.3">
      <c r="A23" s="17">
        <v>20</v>
      </c>
      <c r="B23" s="18"/>
      <c r="C23" s="18">
        <v>160</v>
      </c>
      <c r="D23" s="18">
        <v>20</v>
      </c>
      <c r="E23" s="18">
        <f t="shared" si="0"/>
        <v>32</v>
      </c>
      <c r="F23" s="20">
        <f t="shared" si="1"/>
        <v>128</v>
      </c>
    </row>
    <row r="24" spans="1:6" ht="15.6" x14ac:dyDescent="0.3">
      <c r="A24" s="17">
        <v>21</v>
      </c>
      <c r="B24" s="18"/>
      <c r="C24" s="18">
        <v>1340</v>
      </c>
      <c r="D24" s="18">
        <v>23</v>
      </c>
      <c r="E24" s="18">
        <f t="shared" si="0"/>
        <v>308.2</v>
      </c>
      <c r="F24" s="20">
        <f t="shared" si="1"/>
        <v>1031.8</v>
      </c>
    </row>
    <row r="25" spans="1:6" ht="15.6" x14ac:dyDescent="0.3">
      <c r="A25" s="17">
        <v>22</v>
      </c>
      <c r="B25" s="18"/>
      <c r="C25" s="18">
        <v>980</v>
      </c>
      <c r="D25" s="18">
        <v>10</v>
      </c>
      <c r="E25" s="18">
        <f t="shared" si="0"/>
        <v>98</v>
      </c>
      <c r="F25" s="20">
        <f t="shared" si="1"/>
        <v>882</v>
      </c>
    </row>
    <row r="26" spans="1:6" ht="15.6" x14ac:dyDescent="0.3">
      <c r="A26" s="17">
        <v>23</v>
      </c>
      <c r="B26" s="18"/>
      <c r="C26" s="18">
        <v>200</v>
      </c>
      <c r="D26" s="18">
        <v>20</v>
      </c>
      <c r="E26" s="18">
        <f t="shared" si="0"/>
        <v>40</v>
      </c>
      <c r="F26" s="20">
        <f t="shared" si="1"/>
        <v>160</v>
      </c>
    </row>
    <row r="27" spans="1:6" ht="15.6" x14ac:dyDescent="0.3">
      <c r="A27" s="17">
        <v>24</v>
      </c>
      <c r="B27" s="18"/>
      <c r="C27" s="18">
        <v>16200</v>
      </c>
      <c r="D27" s="18">
        <v>20</v>
      </c>
      <c r="E27" s="18">
        <f t="shared" si="0"/>
        <v>3240</v>
      </c>
      <c r="F27" s="20">
        <f t="shared" si="1"/>
        <v>12960</v>
      </c>
    </row>
    <row r="28" spans="1:6" ht="15.6" x14ac:dyDescent="0.3">
      <c r="A28" s="17">
        <v>25</v>
      </c>
      <c r="B28" s="18"/>
      <c r="C28" s="18">
        <v>400</v>
      </c>
      <c r="D28" s="18">
        <v>15</v>
      </c>
      <c r="E28" s="18">
        <f t="shared" si="0"/>
        <v>60</v>
      </c>
      <c r="F28" s="20">
        <f t="shared" si="1"/>
        <v>340</v>
      </c>
    </row>
    <row r="29" spans="1:6" ht="15.6" x14ac:dyDescent="0.3">
      <c r="A29" s="17">
        <v>26</v>
      </c>
      <c r="B29" s="18"/>
      <c r="C29" s="18">
        <v>200</v>
      </c>
      <c r="D29" s="18">
        <v>0</v>
      </c>
      <c r="E29" s="18">
        <f t="shared" si="0"/>
        <v>0</v>
      </c>
      <c r="F29" s="20">
        <f t="shared" si="1"/>
        <v>200</v>
      </c>
    </row>
    <row r="30" spans="1:6" ht="15.6" x14ac:dyDescent="0.3">
      <c r="A30" s="17">
        <v>27</v>
      </c>
      <c r="B30" s="18"/>
      <c r="C30" s="18">
        <v>950</v>
      </c>
      <c r="D30" s="18">
        <v>0</v>
      </c>
      <c r="E30" s="18">
        <f t="shared" si="0"/>
        <v>0</v>
      </c>
      <c r="F30" s="20">
        <f t="shared" si="1"/>
        <v>950</v>
      </c>
    </row>
    <row r="31" spans="1:6" ht="15.6" x14ac:dyDescent="0.3">
      <c r="A31" s="17">
        <v>28</v>
      </c>
      <c r="B31" s="18"/>
      <c r="C31" s="18">
        <v>260</v>
      </c>
      <c r="D31" s="18">
        <v>0</v>
      </c>
      <c r="E31" s="18">
        <f t="shared" si="0"/>
        <v>0</v>
      </c>
      <c r="F31" s="20">
        <f t="shared" si="1"/>
        <v>260</v>
      </c>
    </row>
    <row r="32" spans="1:6" ht="15.6" x14ac:dyDescent="0.3">
      <c r="A32" s="17">
        <v>29</v>
      </c>
      <c r="B32" s="18"/>
      <c r="C32" s="18">
        <v>4050</v>
      </c>
      <c r="D32" s="18">
        <v>25</v>
      </c>
      <c r="E32" s="18">
        <f t="shared" si="0"/>
        <v>1012.5</v>
      </c>
      <c r="F32" s="20">
        <f t="shared" si="1"/>
        <v>3037.5</v>
      </c>
    </row>
    <row r="33" spans="1:6" ht="15.6" x14ac:dyDescent="0.3">
      <c r="A33" s="17">
        <v>30</v>
      </c>
      <c r="B33" s="18"/>
      <c r="C33" s="18">
        <v>300</v>
      </c>
      <c r="D33" s="18">
        <v>23</v>
      </c>
      <c r="E33" s="18">
        <f t="shared" si="0"/>
        <v>69</v>
      </c>
      <c r="F33" s="20">
        <f t="shared" si="1"/>
        <v>231</v>
      </c>
    </row>
    <row r="34" spans="1:6" ht="15.6" x14ac:dyDescent="0.3">
      <c r="A34" s="17">
        <v>31</v>
      </c>
      <c r="B34" s="18"/>
      <c r="C34" s="18">
        <v>400</v>
      </c>
      <c r="D34" s="18">
        <v>23</v>
      </c>
      <c r="E34" s="18">
        <f t="shared" si="0"/>
        <v>92</v>
      </c>
      <c r="F34" s="20">
        <f t="shared" si="1"/>
        <v>308</v>
      </c>
    </row>
    <row r="35" spans="1:6" ht="15.6" x14ac:dyDescent="0.3">
      <c r="A35" s="17">
        <v>32</v>
      </c>
      <c r="B35" s="18"/>
      <c r="C35" s="18">
        <v>1380</v>
      </c>
      <c r="D35" s="18">
        <v>20</v>
      </c>
      <c r="E35" s="18">
        <f t="shared" si="0"/>
        <v>276</v>
      </c>
      <c r="F35" s="20">
        <f t="shared" si="1"/>
        <v>1104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learCustomerCost">
                <anchor moveWithCells="1" sizeWithCells="1">
                  <from>
                    <xdr:col>7</xdr:col>
                    <xdr:colOff>22860</xdr:colOff>
                    <xdr:row>4</xdr:row>
                    <xdr:rowOff>99060</xdr:rowOff>
                  </from>
                  <to>
                    <xdr:col>9</xdr:col>
                    <xdr:colOff>579120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CFED-3051-40C9-A3CC-6F1E1BE7FF58}">
  <sheetPr codeName="Sheet3"/>
  <dimension ref="A1:J104"/>
  <sheetViews>
    <sheetView workbookViewId="0">
      <selection activeCell="B104" sqref="B104"/>
    </sheetView>
  </sheetViews>
  <sheetFormatPr defaultRowHeight="15.6" x14ac:dyDescent="0.3"/>
  <cols>
    <col min="1" max="1" width="8.88671875" style="1"/>
    <col min="2" max="2" width="10" style="1" bestFit="1" customWidth="1"/>
    <col min="3" max="5" width="8.88671875" style="1"/>
    <col min="6" max="6" width="10" style="1" bestFit="1" customWidth="1"/>
    <col min="7" max="7" width="8.88671875" style="1"/>
    <col min="9" max="9" width="19" style="1" bestFit="1" customWidth="1"/>
    <col min="10" max="16384" width="8.88671875" style="1"/>
  </cols>
  <sheetData>
    <row r="1" spans="1:10" ht="30" x14ac:dyDescent="0.5">
      <c r="A1" s="4" t="s">
        <v>4</v>
      </c>
    </row>
    <row r="2" spans="1:10" x14ac:dyDescent="0.3">
      <c r="B2" s="6" t="s">
        <v>9</v>
      </c>
      <c r="C2" s="6">
        <f>SUM(C5:C104)</f>
        <v>35070</v>
      </c>
      <c r="F2" s="6" t="s">
        <v>10</v>
      </c>
      <c r="G2" s="6">
        <f>SUM(G5:G104)</f>
        <v>34570</v>
      </c>
      <c r="I2" s="6" t="s">
        <v>19</v>
      </c>
      <c r="J2" s="6">
        <f>SUM(C2,D2,G2)</f>
        <v>69640</v>
      </c>
    </row>
    <row r="4" spans="1:10" x14ac:dyDescent="0.3">
      <c r="B4" s="6" t="s">
        <v>2</v>
      </c>
      <c r="C4" s="6" t="s">
        <v>8</v>
      </c>
      <c r="D4" s="12"/>
      <c r="F4" s="6" t="s">
        <v>2</v>
      </c>
      <c r="G4" s="6" t="s">
        <v>8</v>
      </c>
    </row>
    <row r="5" spans="1:10" x14ac:dyDescent="0.3">
      <c r="B5" s="9">
        <v>0</v>
      </c>
      <c r="C5" s="5">
        <v>50</v>
      </c>
      <c r="D5" s="13"/>
      <c r="F5" s="9">
        <v>0</v>
      </c>
      <c r="G5" s="5">
        <v>50</v>
      </c>
    </row>
    <row r="6" spans="1:10" x14ac:dyDescent="0.3">
      <c r="B6" s="9">
        <v>1</v>
      </c>
      <c r="C6" s="5">
        <v>50</v>
      </c>
      <c r="D6" s="13"/>
      <c r="F6" s="9">
        <v>1</v>
      </c>
      <c r="G6" s="5">
        <v>50</v>
      </c>
    </row>
    <row r="7" spans="1:10" x14ac:dyDescent="0.3">
      <c r="B7" s="9">
        <v>2</v>
      </c>
      <c r="C7" s="5">
        <v>10</v>
      </c>
      <c r="D7" s="13"/>
      <c r="F7" s="9">
        <v>2</v>
      </c>
      <c r="G7" s="5">
        <v>10</v>
      </c>
    </row>
    <row r="8" spans="1:10" x14ac:dyDescent="0.3">
      <c r="B8" s="9">
        <v>3</v>
      </c>
      <c r="C8" s="5">
        <v>90</v>
      </c>
      <c r="D8" s="13"/>
      <c r="F8" s="9">
        <v>3</v>
      </c>
      <c r="G8" s="5">
        <v>80</v>
      </c>
    </row>
    <row r="9" spans="1:10" x14ac:dyDescent="0.3">
      <c r="B9" s="9">
        <v>4</v>
      </c>
      <c r="C9" s="5">
        <v>40</v>
      </c>
      <c r="D9" s="13"/>
      <c r="F9" s="9">
        <v>4</v>
      </c>
      <c r="G9" s="5">
        <v>40</v>
      </c>
    </row>
    <row r="10" spans="1:10" x14ac:dyDescent="0.3">
      <c r="B10" s="9">
        <v>5</v>
      </c>
      <c r="C10" s="5">
        <v>360</v>
      </c>
      <c r="D10" s="13"/>
      <c r="F10" s="9">
        <v>5</v>
      </c>
      <c r="G10" s="5">
        <v>350</v>
      </c>
    </row>
    <row r="11" spans="1:10" x14ac:dyDescent="0.3">
      <c r="B11" s="9">
        <v>6</v>
      </c>
      <c r="C11" s="5"/>
      <c r="D11" s="13"/>
      <c r="F11" s="9">
        <v>6</v>
      </c>
      <c r="G11" s="5"/>
    </row>
    <row r="12" spans="1:10" x14ac:dyDescent="0.3">
      <c r="B12" s="9">
        <v>7</v>
      </c>
      <c r="C12" s="5">
        <v>120</v>
      </c>
      <c r="D12" s="13"/>
      <c r="F12" s="9">
        <v>7</v>
      </c>
      <c r="G12" s="5">
        <v>100</v>
      </c>
    </row>
    <row r="13" spans="1:10" x14ac:dyDescent="0.3">
      <c r="B13" s="9">
        <v>8</v>
      </c>
      <c r="C13" s="5">
        <v>50</v>
      </c>
      <c r="D13" s="13"/>
      <c r="F13" s="9">
        <v>8</v>
      </c>
      <c r="G13" s="5">
        <v>50</v>
      </c>
    </row>
    <row r="14" spans="1:10" x14ac:dyDescent="0.3">
      <c r="B14" s="9">
        <v>9</v>
      </c>
      <c r="C14" s="5">
        <v>75</v>
      </c>
      <c r="D14" s="13"/>
      <c r="F14" s="9">
        <v>9</v>
      </c>
      <c r="G14" s="5">
        <v>75</v>
      </c>
    </row>
    <row r="15" spans="1:10" x14ac:dyDescent="0.3">
      <c r="B15" s="9">
        <v>10</v>
      </c>
      <c r="C15" s="5">
        <v>50</v>
      </c>
      <c r="D15" s="13"/>
      <c r="F15" s="9">
        <v>10</v>
      </c>
      <c r="G15" s="5">
        <v>50</v>
      </c>
    </row>
    <row r="16" spans="1:10" x14ac:dyDescent="0.3">
      <c r="B16" s="9">
        <v>11</v>
      </c>
      <c r="C16" s="5">
        <v>130</v>
      </c>
      <c r="D16" s="13"/>
      <c r="F16" s="9">
        <v>11</v>
      </c>
      <c r="G16" s="5">
        <v>130</v>
      </c>
    </row>
    <row r="17" spans="2:7" x14ac:dyDescent="0.3">
      <c r="B17" s="9">
        <v>12</v>
      </c>
      <c r="C17" s="5">
        <v>100</v>
      </c>
      <c r="D17" s="13"/>
      <c r="F17" s="9">
        <v>12</v>
      </c>
      <c r="G17" s="5">
        <v>50</v>
      </c>
    </row>
    <row r="18" spans="2:7" x14ac:dyDescent="0.3">
      <c r="B18" s="9">
        <v>13</v>
      </c>
      <c r="C18" s="5">
        <v>80</v>
      </c>
      <c r="D18" s="13"/>
      <c r="F18" s="9">
        <v>13</v>
      </c>
      <c r="G18" s="5">
        <v>80</v>
      </c>
    </row>
    <row r="19" spans="2:7" x14ac:dyDescent="0.3">
      <c r="B19" s="9">
        <v>14</v>
      </c>
      <c r="C19" s="5">
        <v>190</v>
      </c>
      <c r="D19" s="13"/>
      <c r="F19" s="9">
        <v>14</v>
      </c>
      <c r="G19" s="5">
        <v>170</v>
      </c>
    </row>
    <row r="20" spans="2:7" x14ac:dyDescent="0.3">
      <c r="B20" s="9">
        <v>15</v>
      </c>
      <c r="C20" s="5">
        <v>480</v>
      </c>
      <c r="D20" s="13"/>
      <c r="F20" s="9">
        <v>15</v>
      </c>
      <c r="G20" s="5">
        <v>450</v>
      </c>
    </row>
    <row r="21" spans="2:7" x14ac:dyDescent="0.3">
      <c r="B21" s="9">
        <v>16</v>
      </c>
      <c r="C21" s="5">
        <v>220</v>
      </c>
      <c r="D21" s="13"/>
      <c r="F21" s="9">
        <v>16</v>
      </c>
      <c r="G21" s="5">
        <v>200</v>
      </c>
    </row>
    <row r="22" spans="2:7" x14ac:dyDescent="0.3">
      <c r="B22" s="9">
        <v>17</v>
      </c>
      <c r="C22" s="5">
        <v>610</v>
      </c>
      <c r="D22" s="13"/>
      <c r="F22" s="9">
        <v>17</v>
      </c>
      <c r="G22" s="5">
        <v>480</v>
      </c>
    </row>
    <row r="23" spans="2:7" x14ac:dyDescent="0.3">
      <c r="B23" s="9">
        <v>18</v>
      </c>
      <c r="C23" s="5">
        <v>440</v>
      </c>
      <c r="D23" s="13"/>
      <c r="F23" s="9">
        <v>18</v>
      </c>
      <c r="G23" s="5">
        <v>390</v>
      </c>
    </row>
    <row r="24" spans="2:7" x14ac:dyDescent="0.3">
      <c r="B24" s="9">
        <v>19</v>
      </c>
      <c r="C24" s="5">
        <v>800</v>
      </c>
      <c r="D24" s="13"/>
      <c r="F24" s="9">
        <v>19</v>
      </c>
      <c r="G24" s="5">
        <v>700</v>
      </c>
    </row>
    <row r="25" spans="2:7" x14ac:dyDescent="0.3">
      <c r="B25" s="9">
        <v>20</v>
      </c>
      <c r="C25" s="5">
        <v>10</v>
      </c>
      <c r="D25" s="13"/>
      <c r="F25" s="9">
        <v>20</v>
      </c>
      <c r="G25" s="5">
        <v>10</v>
      </c>
    </row>
    <row r="26" spans="2:7" x14ac:dyDescent="0.3">
      <c r="B26" s="9">
        <v>21</v>
      </c>
      <c r="C26" s="5">
        <v>180</v>
      </c>
      <c r="D26" s="13"/>
      <c r="F26" s="9">
        <v>21</v>
      </c>
      <c r="G26" s="5">
        <v>130</v>
      </c>
    </row>
    <row r="27" spans="2:7" x14ac:dyDescent="0.3">
      <c r="B27" s="9">
        <v>22</v>
      </c>
      <c r="C27" s="5">
        <v>110</v>
      </c>
      <c r="D27" s="13"/>
      <c r="F27" s="9">
        <v>22</v>
      </c>
      <c r="G27" s="5">
        <v>110</v>
      </c>
    </row>
    <row r="28" spans="2:7" x14ac:dyDescent="0.3">
      <c r="B28" s="9">
        <v>23</v>
      </c>
      <c r="C28" s="5">
        <v>850</v>
      </c>
      <c r="D28" s="13"/>
      <c r="F28" s="9">
        <v>23</v>
      </c>
      <c r="G28" s="5">
        <v>950</v>
      </c>
    </row>
    <row r="29" spans="2:7" x14ac:dyDescent="0.3">
      <c r="B29" s="9">
        <v>24</v>
      </c>
      <c r="C29" s="5">
        <v>580</v>
      </c>
      <c r="D29" s="13"/>
      <c r="F29" s="9">
        <v>24</v>
      </c>
      <c r="G29" s="5">
        <v>530</v>
      </c>
    </row>
    <row r="30" spans="2:7" x14ac:dyDescent="0.3">
      <c r="B30" s="9">
        <v>25</v>
      </c>
      <c r="C30" s="5">
        <v>2100</v>
      </c>
      <c r="D30" s="13"/>
      <c r="F30" s="9">
        <v>25</v>
      </c>
      <c r="G30" s="5">
        <v>2170</v>
      </c>
    </row>
    <row r="31" spans="2:7" x14ac:dyDescent="0.3">
      <c r="B31" s="9">
        <v>26</v>
      </c>
      <c r="C31" s="5">
        <v>350</v>
      </c>
      <c r="D31" s="13"/>
      <c r="F31" s="9">
        <v>26</v>
      </c>
      <c r="G31" s="5">
        <v>320</v>
      </c>
    </row>
    <row r="32" spans="2:7" x14ac:dyDescent="0.3">
      <c r="B32" s="9">
        <v>27</v>
      </c>
      <c r="C32" s="5">
        <v>500</v>
      </c>
      <c r="D32" s="13"/>
      <c r="F32" s="9">
        <v>27</v>
      </c>
      <c r="G32" s="5">
        <v>400</v>
      </c>
    </row>
    <row r="33" spans="2:7" x14ac:dyDescent="0.3">
      <c r="B33" s="9">
        <v>28</v>
      </c>
      <c r="C33" s="5">
        <v>20</v>
      </c>
      <c r="D33" s="13"/>
      <c r="F33" s="9">
        <v>28</v>
      </c>
      <c r="G33" s="5">
        <v>20</v>
      </c>
    </row>
    <row r="34" spans="2:7" x14ac:dyDescent="0.3">
      <c r="B34" s="9">
        <v>29</v>
      </c>
      <c r="C34" s="5">
        <v>730</v>
      </c>
      <c r="D34" s="13"/>
      <c r="F34" s="9">
        <v>29</v>
      </c>
      <c r="G34" s="5">
        <v>2030</v>
      </c>
    </row>
    <row r="35" spans="2:7" x14ac:dyDescent="0.3">
      <c r="B35" s="9">
        <v>30</v>
      </c>
      <c r="C35" s="5">
        <v>140</v>
      </c>
      <c r="D35" s="13"/>
      <c r="F35" s="9">
        <v>30</v>
      </c>
      <c r="G35" s="5">
        <v>100</v>
      </c>
    </row>
    <row r="36" spans="2:7" x14ac:dyDescent="0.3">
      <c r="B36" s="9">
        <v>31</v>
      </c>
      <c r="C36" s="5">
        <v>110</v>
      </c>
      <c r="D36" s="13"/>
      <c r="F36" s="9">
        <v>31</v>
      </c>
      <c r="G36" s="5">
        <v>140</v>
      </c>
    </row>
    <row r="37" spans="2:7" x14ac:dyDescent="0.3">
      <c r="B37" s="9">
        <v>32</v>
      </c>
      <c r="C37" s="5">
        <v>730</v>
      </c>
      <c r="D37" s="13"/>
      <c r="F37" s="9">
        <v>32</v>
      </c>
      <c r="G37" s="5">
        <v>980</v>
      </c>
    </row>
    <row r="38" spans="2:7" x14ac:dyDescent="0.3">
      <c r="B38" s="9">
        <v>33</v>
      </c>
      <c r="C38" s="5">
        <v>100</v>
      </c>
      <c r="D38" s="13"/>
      <c r="F38" s="9">
        <v>33</v>
      </c>
      <c r="G38" s="5">
        <v>100</v>
      </c>
    </row>
    <row r="39" spans="2:7" x14ac:dyDescent="0.3">
      <c r="B39" s="9">
        <v>34</v>
      </c>
      <c r="C39" s="5">
        <v>400</v>
      </c>
      <c r="D39" s="13"/>
      <c r="F39" s="9">
        <v>34</v>
      </c>
      <c r="G39" s="5">
        <v>400</v>
      </c>
    </row>
    <row r="40" spans="2:7" x14ac:dyDescent="0.3">
      <c r="B40" s="9">
        <v>35</v>
      </c>
      <c r="C40" s="5">
        <v>250</v>
      </c>
      <c r="D40" s="13"/>
      <c r="F40" s="9">
        <v>35</v>
      </c>
      <c r="G40" s="5">
        <v>200</v>
      </c>
    </row>
    <row r="41" spans="2:7" x14ac:dyDescent="0.3">
      <c r="B41" s="9">
        <v>36</v>
      </c>
      <c r="C41" s="5">
        <v>120</v>
      </c>
      <c r="D41" s="13"/>
      <c r="F41" s="9">
        <v>36</v>
      </c>
      <c r="G41" s="5">
        <v>130</v>
      </c>
    </row>
    <row r="42" spans="2:7" x14ac:dyDescent="0.3">
      <c r="B42" s="9">
        <v>37</v>
      </c>
      <c r="C42" s="5">
        <v>520</v>
      </c>
      <c r="D42" s="13"/>
      <c r="F42" s="9">
        <v>37</v>
      </c>
      <c r="G42" s="5">
        <v>520</v>
      </c>
    </row>
    <row r="43" spans="2:7" x14ac:dyDescent="0.3">
      <c r="B43" s="9">
        <v>38</v>
      </c>
      <c r="C43" s="5">
        <v>60</v>
      </c>
      <c r="D43" s="13"/>
      <c r="F43" s="9">
        <v>38</v>
      </c>
      <c r="G43" s="5">
        <v>90</v>
      </c>
    </row>
    <row r="44" spans="2:7" x14ac:dyDescent="0.3">
      <c r="B44" s="9">
        <v>39</v>
      </c>
      <c r="C44" s="5">
        <v>900</v>
      </c>
      <c r="D44" s="13"/>
      <c r="F44" s="9">
        <v>39</v>
      </c>
      <c r="G44" s="5">
        <v>820</v>
      </c>
    </row>
    <row r="45" spans="2:7" x14ac:dyDescent="0.3">
      <c r="B45" s="9">
        <v>40</v>
      </c>
      <c r="C45" s="5">
        <v>40</v>
      </c>
      <c r="D45" s="13"/>
      <c r="F45" s="9">
        <v>40</v>
      </c>
      <c r="G45" s="5">
        <v>40</v>
      </c>
    </row>
    <row r="46" spans="2:7" x14ac:dyDescent="0.3">
      <c r="B46" s="9">
        <v>41</v>
      </c>
      <c r="C46" s="5">
        <v>170</v>
      </c>
      <c r="D46" s="13"/>
      <c r="F46" s="9">
        <v>41</v>
      </c>
      <c r="G46" s="5">
        <v>150</v>
      </c>
    </row>
    <row r="47" spans="2:7" x14ac:dyDescent="0.3">
      <c r="B47" s="9">
        <v>42</v>
      </c>
      <c r="C47" s="5">
        <v>330</v>
      </c>
      <c r="D47" s="13"/>
      <c r="F47" s="9">
        <v>42</v>
      </c>
      <c r="G47" s="5">
        <v>280</v>
      </c>
    </row>
    <row r="48" spans="2:7" x14ac:dyDescent="0.3">
      <c r="B48" s="9">
        <v>43</v>
      </c>
      <c r="C48" s="5">
        <v>400</v>
      </c>
      <c r="D48" s="13"/>
      <c r="F48" s="9">
        <v>43</v>
      </c>
      <c r="G48" s="5">
        <v>1000</v>
      </c>
    </row>
    <row r="49" spans="2:7" x14ac:dyDescent="0.3">
      <c r="B49" s="9">
        <v>44</v>
      </c>
      <c r="C49" s="5"/>
      <c r="D49" s="13"/>
      <c r="F49" s="9">
        <v>44</v>
      </c>
      <c r="G49" s="5"/>
    </row>
    <row r="50" spans="2:7" x14ac:dyDescent="0.3">
      <c r="B50" s="9">
        <v>45</v>
      </c>
      <c r="C50" s="5">
        <v>440</v>
      </c>
      <c r="D50" s="13"/>
      <c r="F50" s="9">
        <v>45</v>
      </c>
      <c r="G50" s="5">
        <v>320</v>
      </c>
    </row>
    <row r="51" spans="2:7" x14ac:dyDescent="0.3">
      <c r="B51" s="9">
        <v>46</v>
      </c>
      <c r="C51" s="5">
        <v>160</v>
      </c>
      <c r="D51" s="13"/>
      <c r="F51" s="9">
        <v>46</v>
      </c>
      <c r="G51" s="5">
        <v>140</v>
      </c>
    </row>
    <row r="52" spans="2:7" x14ac:dyDescent="0.3">
      <c r="B52" s="9">
        <v>47</v>
      </c>
      <c r="C52" s="5">
        <v>480</v>
      </c>
      <c r="D52" s="13"/>
      <c r="F52" s="9">
        <v>47</v>
      </c>
      <c r="G52" s="5">
        <v>450</v>
      </c>
    </row>
    <row r="53" spans="2:7" x14ac:dyDescent="0.3">
      <c r="B53" s="9">
        <v>48</v>
      </c>
      <c r="C53" s="5">
        <v>400</v>
      </c>
      <c r="D53" s="13"/>
      <c r="F53" s="9">
        <v>48</v>
      </c>
      <c r="G53" s="5">
        <v>550</v>
      </c>
    </row>
    <row r="54" spans="2:7" x14ac:dyDescent="0.3">
      <c r="B54" s="9">
        <v>49</v>
      </c>
      <c r="C54" s="5">
        <v>40</v>
      </c>
      <c r="D54" s="13"/>
      <c r="F54" s="9">
        <v>49</v>
      </c>
      <c r="G54" s="5">
        <v>70</v>
      </c>
    </row>
    <row r="55" spans="2:7" x14ac:dyDescent="0.3">
      <c r="B55" s="9">
        <v>50</v>
      </c>
      <c r="C55" s="10">
        <v>110</v>
      </c>
      <c r="D55" s="14"/>
      <c r="F55" s="9">
        <v>50</v>
      </c>
      <c r="G55" s="5">
        <v>130</v>
      </c>
    </row>
    <row r="56" spans="2:7" x14ac:dyDescent="0.3">
      <c r="B56" s="9">
        <v>51</v>
      </c>
      <c r="C56" s="10">
        <v>290</v>
      </c>
      <c r="D56" s="14"/>
      <c r="F56" s="9">
        <v>51</v>
      </c>
      <c r="G56" s="5">
        <v>290</v>
      </c>
    </row>
    <row r="57" spans="2:7" x14ac:dyDescent="0.3">
      <c r="B57" s="9">
        <v>52</v>
      </c>
      <c r="C57" s="10">
        <v>870</v>
      </c>
      <c r="D57" s="14"/>
      <c r="F57" s="9">
        <v>52</v>
      </c>
      <c r="G57" s="5">
        <v>840</v>
      </c>
    </row>
    <row r="58" spans="2:7" x14ac:dyDescent="0.3">
      <c r="B58" s="9">
        <v>53</v>
      </c>
      <c r="C58" s="10">
        <v>200</v>
      </c>
      <c r="D58" s="14"/>
      <c r="F58" s="9">
        <v>53</v>
      </c>
      <c r="G58" s="5">
        <v>280</v>
      </c>
    </row>
    <row r="59" spans="2:7" x14ac:dyDescent="0.3">
      <c r="B59" s="9">
        <v>54</v>
      </c>
      <c r="C59" s="10">
        <v>340</v>
      </c>
      <c r="D59" s="14"/>
      <c r="F59" s="9">
        <v>54</v>
      </c>
      <c r="G59" s="5">
        <v>420</v>
      </c>
    </row>
    <row r="60" spans="2:7" x14ac:dyDescent="0.3">
      <c r="B60" s="9">
        <v>55</v>
      </c>
      <c r="C60" s="10">
        <v>200</v>
      </c>
      <c r="D60" s="14"/>
      <c r="F60" s="9">
        <v>55</v>
      </c>
      <c r="G60" s="5">
        <v>200</v>
      </c>
    </row>
    <row r="61" spans="2:7" x14ac:dyDescent="0.3">
      <c r="B61" s="9">
        <v>56</v>
      </c>
      <c r="C61" s="10">
        <v>310</v>
      </c>
      <c r="D61" s="14"/>
      <c r="F61" s="9">
        <v>56</v>
      </c>
      <c r="G61" s="5">
        <v>490</v>
      </c>
    </row>
    <row r="62" spans="2:7" x14ac:dyDescent="0.3">
      <c r="B62" s="9">
        <v>57</v>
      </c>
      <c r="C62" s="10">
        <v>790</v>
      </c>
      <c r="D62" s="14"/>
      <c r="F62" s="9">
        <v>57</v>
      </c>
      <c r="G62" s="5">
        <v>890</v>
      </c>
    </row>
    <row r="63" spans="2:7" x14ac:dyDescent="0.3">
      <c r="B63" s="9">
        <v>58</v>
      </c>
      <c r="C63" s="10">
        <v>1540</v>
      </c>
      <c r="D63" s="14"/>
      <c r="F63" s="9">
        <v>58</v>
      </c>
      <c r="G63" s="5">
        <v>1970</v>
      </c>
    </row>
    <row r="64" spans="2:7" x14ac:dyDescent="0.3">
      <c r="B64" s="9">
        <v>59</v>
      </c>
      <c r="C64" s="10">
        <v>650</v>
      </c>
      <c r="D64" s="14"/>
      <c r="F64" s="9">
        <v>59</v>
      </c>
      <c r="G64" s="5">
        <v>630</v>
      </c>
    </row>
    <row r="65" spans="2:7" x14ac:dyDescent="0.3">
      <c r="B65" s="9">
        <v>60</v>
      </c>
      <c r="C65" s="10"/>
      <c r="D65" s="14"/>
      <c r="F65" s="9">
        <v>60</v>
      </c>
      <c r="G65" s="5"/>
    </row>
    <row r="66" spans="2:7" x14ac:dyDescent="0.3">
      <c r="B66" s="9">
        <v>61</v>
      </c>
      <c r="C66" s="10">
        <v>250</v>
      </c>
      <c r="D66" s="14"/>
      <c r="F66" s="9">
        <v>61</v>
      </c>
      <c r="G66" s="5">
        <v>200</v>
      </c>
    </row>
    <row r="67" spans="2:7" x14ac:dyDescent="0.3">
      <c r="B67" s="9">
        <v>62</v>
      </c>
      <c r="C67" s="10">
        <v>350</v>
      </c>
      <c r="D67" s="14"/>
      <c r="F67" s="9">
        <v>62</v>
      </c>
      <c r="G67" s="5">
        <v>320</v>
      </c>
    </row>
    <row r="68" spans="2:7" x14ac:dyDescent="0.3">
      <c r="B68" s="9">
        <v>63</v>
      </c>
      <c r="C68" s="10">
        <v>120</v>
      </c>
      <c r="D68" s="14"/>
      <c r="F68" s="9">
        <v>63</v>
      </c>
      <c r="G68" s="5">
        <v>100</v>
      </c>
    </row>
    <row r="69" spans="2:7" x14ac:dyDescent="0.3">
      <c r="B69" s="9">
        <v>64</v>
      </c>
      <c r="C69" s="10">
        <v>160</v>
      </c>
      <c r="D69" s="14"/>
      <c r="F69" s="9">
        <v>64</v>
      </c>
      <c r="G69" s="5">
        <v>140</v>
      </c>
    </row>
    <row r="70" spans="2:7" x14ac:dyDescent="0.3">
      <c r="B70" s="9">
        <v>65</v>
      </c>
      <c r="C70" s="10">
        <v>210</v>
      </c>
      <c r="D70" s="14"/>
      <c r="F70" s="9">
        <v>65</v>
      </c>
      <c r="G70" s="5">
        <v>190</v>
      </c>
    </row>
    <row r="71" spans="2:7" x14ac:dyDescent="0.3">
      <c r="B71" s="9">
        <v>66</v>
      </c>
      <c r="C71" s="10">
        <v>100</v>
      </c>
      <c r="D71" s="14"/>
      <c r="F71" s="9">
        <v>66</v>
      </c>
      <c r="G71" s="5">
        <v>100</v>
      </c>
    </row>
    <row r="72" spans="2:7" x14ac:dyDescent="0.3">
      <c r="B72" s="9">
        <v>67</v>
      </c>
      <c r="C72" s="10">
        <v>230</v>
      </c>
      <c r="D72" s="14"/>
      <c r="F72" s="9">
        <v>67</v>
      </c>
      <c r="G72" s="5">
        <v>230</v>
      </c>
    </row>
    <row r="73" spans="2:7" x14ac:dyDescent="0.3">
      <c r="B73" s="9">
        <v>68</v>
      </c>
      <c r="C73" s="10">
        <v>250</v>
      </c>
      <c r="D73" s="14"/>
      <c r="F73" s="9">
        <v>68</v>
      </c>
      <c r="G73" s="5">
        <v>300</v>
      </c>
    </row>
    <row r="74" spans="2:7" x14ac:dyDescent="0.3">
      <c r="B74" s="9">
        <v>69</v>
      </c>
      <c r="C74" s="10">
        <v>70</v>
      </c>
      <c r="D74" s="14"/>
      <c r="F74" s="9">
        <v>69</v>
      </c>
      <c r="G74" s="5">
        <v>50</v>
      </c>
    </row>
    <row r="75" spans="2:7" x14ac:dyDescent="0.3">
      <c r="B75" s="9">
        <v>70</v>
      </c>
      <c r="C75" s="10">
        <v>120</v>
      </c>
      <c r="D75" s="14"/>
      <c r="F75" s="9">
        <v>70</v>
      </c>
      <c r="G75" s="5">
        <v>130</v>
      </c>
    </row>
    <row r="76" spans="2:7" x14ac:dyDescent="0.3">
      <c r="B76" s="9">
        <v>71</v>
      </c>
      <c r="C76" s="10">
        <v>290</v>
      </c>
      <c r="D76" s="14"/>
      <c r="F76" s="9">
        <v>71</v>
      </c>
      <c r="G76" s="5">
        <v>290</v>
      </c>
    </row>
    <row r="77" spans="2:7" x14ac:dyDescent="0.3">
      <c r="B77" s="9">
        <v>72</v>
      </c>
      <c r="C77" s="10">
        <v>550</v>
      </c>
      <c r="D77" s="14"/>
      <c r="F77" s="9">
        <v>72</v>
      </c>
      <c r="G77" s="5">
        <v>600</v>
      </c>
    </row>
    <row r="78" spans="2:7" x14ac:dyDescent="0.3">
      <c r="B78" s="9">
        <v>73</v>
      </c>
      <c r="C78" s="10">
        <v>460</v>
      </c>
      <c r="D78" s="14"/>
      <c r="F78" s="9">
        <v>73</v>
      </c>
      <c r="G78" s="5">
        <v>330</v>
      </c>
    </row>
    <row r="79" spans="2:7" x14ac:dyDescent="0.3">
      <c r="B79" s="9">
        <v>74</v>
      </c>
      <c r="C79" s="10">
        <v>530</v>
      </c>
      <c r="D79" s="14"/>
      <c r="F79" s="9">
        <v>74</v>
      </c>
      <c r="G79" s="5">
        <v>280</v>
      </c>
    </row>
    <row r="80" spans="2:7" x14ac:dyDescent="0.3">
      <c r="B80" s="9">
        <v>75</v>
      </c>
      <c r="C80" s="10">
        <v>840</v>
      </c>
      <c r="D80" s="14"/>
      <c r="F80" s="9">
        <v>75</v>
      </c>
      <c r="G80" s="5">
        <v>740</v>
      </c>
    </row>
    <row r="81" spans="2:7" x14ac:dyDescent="0.3">
      <c r="B81" s="9">
        <v>76</v>
      </c>
      <c r="C81" s="10">
        <v>230</v>
      </c>
      <c r="D81" s="14"/>
      <c r="F81" s="9">
        <v>76</v>
      </c>
      <c r="G81" s="5">
        <v>230</v>
      </c>
    </row>
    <row r="82" spans="2:7" x14ac:dyDescent="0.3">
      <c r="B82" s="9">
        <v>77</v>
      </c>
      <c r="C82" s="10"/>
      <c r="D82" s="14"/>
      <c r="F82" s="9">
        <v>77</v>
      </c>
      <c r="G82" s="5"/>
    </row>
    <row r="83" spans="2:7" x14ac:dyDescent="0.3">
      <c r="B83" s="9">
        <v>78</v>
      </c>
      <c r="C83" s="10">
        <v>1190</v>
      </c>
      <c r="D83" s="14"/>
      <c r="F83" s="9">
        <v>78</v>
      </c>
      <c r="G83" s="5">
        <v>640</v>
      </c>
    </row>
    <row r="84" spans="2:7" x14ac:dyDescent="0.3">
      <c r="B84" s="9">
        <v>79</v>
      </c>
      <c r="C84" s="10">
        <v>240</v>
      </c>
      <c r="D84" s="14"/>
      <c r="F84" s="9">
        <v>79</v>
      </c>
      <c r="G84" s="5">
        <v>260</v>
      </c>
    </row>
    <row r="85" spans="2:7" x14ac:dyDescent="0.3">
      <c r="B85" s="9">
        <v>80</v>
      </c>
      <c r="C85" s="10">
        <v>30</v>
      </c>
      <c r="D85" s="14"/>
      <c r="F85" s="9">
        <v>80</v>
      </c>
      <c r="G85" s="5">
        <v>30</v>
      </c>
    </row>
    <row r="86" spans="2:7" x14ac:dyDescent="0.3">
      <c r="B86" s="9">
        <v>81</v>
      </c>
      <c r="C86" s="10">
        <v>470</v>
      </c>
      <c r="D86" s="14"/>
      <c r="F86" s="9">
        <v>81</v>
      </c>
      <c r="G86" s="5">
        <v>450</v>
      </c>
    </row>
    <row r="87" spans="2:7" x14ac:dyDescent="0.3">
      <c r="B87" s="9">
        <v>82</v>
      </c>
      <c r="C87" s="10">
        <v>20</v>
      </c>
      <c r="D87" s="14"/>
      <c r="F87" s="9">
        <v>82</v>
      </c>
      <c r="G87" s="5">
        <v>20</v>
      </c>
    </row>
    <row r="88" spans="2:7" x14ac:dyDescent="0.3">
      <c r="B88" s="9">
        <v>83</v>
      </c>
      <c r="C88" s="10"/>
      <c r="D88" s="14"/>
      <c r="F88" s="9">
        <v>83</v>
      </c>
      <c r="G88" s="5"/>
    </row>
    <row r="89" spans="2:7" x14ac:dyDescent="0.3">
      <c r="B89" s="9">
        <v>84</v>
      </c>
      <c r="C89" s="10">
        <v>370</v>
      </c>
      <c r="D89" s="14"/>
      <c r="F89" s="9">
        <v>84</v>
      </c>
      <c r="G89" s="5">
        <v>750</v>
      </c>
    </row>
    <row r="90" spans="2:7" x14ac:dyDescent="0.3">
      <c r="B90" s="9">
        <v>85</v>
      </c>
      <c r="C90" s="10">
        <v>1240</v>
      </c>
      <c r="D90" s="14"/>
      <c r="F90" s="9">
        <v>85</v>
      </c>
      <c r="G90" s="5">
        <v>1240</v>
      </c>
    </row>
    <row r="91" spans="2:7" x14ac:dyDescent="0.3">
      <c r="B91" s="9">
        <v>86</v>
      </c>
      <c r="C91" s="10">
        <v>250</v>
      </c>
      <c r="D91" s="14"/>
      <c r="F91" s="9">
        <v>86</v>
      </c>
      <c r="G91" s="5">
        <v>300</v>
      </c>
    </row>
    <row r="92" spans="2:7" x14ac:dyDescent="0.3">
      <c r="B92" s="9">
        <v>87</v>
      </c>
      <c r="C92" s="10">
        <v>790</v>
      </c>
      <c r="D92" s="14"/>
      <c r="F92" s="9">
        <v>87</v>
      </c>
      <c r="G92" s="5">
        <v>390</v>
      </c>
    </row>
    <row r="93" spans="2:7" x14ac:dyDescent="0.3">
      <c r="B93" s="9">
        <v>88</v>
      </c>
      <c r="C93" s="10">
        <v>170</v>
      </c>
      <c r="D93" s="14"/>
      <c r="F93" s="9">
        <v>88</v>
      </c>
      <c r="G93" s="5">
        <v>170</v>
      </c>
    </row>
    <row r="94" spans="2:7" x14ac:dyDescent="0.3">
      <c r="B94" s="9">
        <v>89</v>
      </c>
      <c r="C94" s="10">
        <v>90</v>
      </c>
      <c r="D94" s="14"/>
      <c r="F94" s="9">
        <v>89</v>
      </c>
      <c r="G94" s="5">
        <v>90</v>
      </c>
    </row>
    <row r="95" spans="2:7" x14ac:dyDescent="0.3">
      <c r="B95" s="9">
        <v>90</v>
      </c>
      <c r="C95" s="10">
        <v>75</v>
      </c>
      <c r="D95" s="14"/>
      <c r="F95" s="9">
        <v>90</v>
      </c>
      <c r="G95" s="5">
        <v>75</v>
      </c>
    </row>
    <row r="96" spans="2:7" x14ac:dyDescent="0.3">
      <c r="B96" s="9">
        <v>91</v>
      </c>
      <c r="C96" s="10">
        <v>650</v>
      </c>
      <c r="D96" s="14"/>
      <c r="F96" s="9">
        <v>91</v>
      </c>
      <c r="G96" s="5">
        <v>650</v>
      </c>
    </row>
    <row r="97" spans="2:7" x14ac:dyDescent="0.3">
      <c r="B97" s="9">
        <v>92</v>
      </c>
      <c r="C97" s="10">
        <v>2630</v>
      </c>
      <c r="D97" s="14"/>
      <c r="F97" s="9">
        <v>92</v>
      </c>
      <c r="G97" s="5">
        <v>730</v>
      </c>
    </row>
    <row r="98" spans="2:7" x14ac:dyDescent="0.3">
      <c r="B98" s="9">
        <v>93</v>
      </c>
      <c r="C98" s="10">
        <v>800</v>
      </c>
      <c r="D98" s="14"/>
      <c r="F98" s="9">
        <v>93</v>
      </c>
      <c r="G98" s="5">
        <v>790</v>
      </c>
    </row>
    <row r="99" spans="2:7" x14ac:dyDescent="0.3">
      <c r="B99" s="9">
        <v>94</v>
      </c>
      <c r="C99" s="10">
        <v>40</v>
      </c>
      <c r="D99" s="14"/>
      <c r="F99" s="9">
        <v>94</v>
      </c>
      <c r="G99" s="5">
        <v>70</v>
      </c>
    </row>
    <row r="100" spans="2:7" x14ac:dyDescent="0.3">
      <c r="B100" s="9">
        <v>95</v>
      </c>
      <c r="C100" s="10">
        <v>290</v>
      </c>
      <c r="D100" s="14"/>
      <c r="F100" s="9">
        <v>95</v>
      </c>
      <c r="G100" s="5">
        <v>240</v>
      </c>
    </row>
    <row r="101" spans="2:7" x14ac:dyDescent="0.3">
      <c r="B101" s="9">
        <v>96</v>
      </c>
      <c r="C101" s="10">
        <v>70</v>
      </c>
      <c r="D101" s="14"/>
      <c r="F101" s="9">
        <v>96</v>
      </c>
      <c r="G101" s="5">
        <v>50</v>
      </c>
    </row>
    <row r="102" spans="2:7" x14ac:dyDescent="0.3">
      <c r="B102" s="9">
        <v>97</v>
      </c>
      <c r="C102" s="10">
        <v>240</v>
      </c>
      <c r="D102" s="14"/>
      <c r="F102" s="9">
        <v>97</v>
      </c>
      <c r="G102" s="5">
        <v>210</v>
      </c>
    </row>
    <row r="103" spans="2:7" x14ac:dyDescent="0.3">
      <c r="B103" s="9">
        <v>98</v>
      </c>
      <c r="C103" s="10">
        <v>90</v>
      </c>
      <c r="D103" s="14"/>
      <c r="F103" s="9">
        <v>98</v>
      </c>
      <c r="G103" s="5">
        <v>290</v>
      </c>
    </row>
    <row r="104" spans="2:7" x14ac:dyDescent="0.3">
      <c r="B104" s="9">
        <v>99</v>
      </c>
      <c r="C104" s="10">
        <v>100</v>
      </c>
      <c r="D104" s="14"/>
      <c r="F104" s="9">
        <v>99</v>
      </c>
      <c r="G104" s="5">
        <v>100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Table2">
                <anchor moveWithCells="1" sizeWithCells="1">
                  <from>
                    <xdr:col>9</xdr:col>
                    <xdr:colOff>15240</xdr:colOff>
                    <xdr:row>9</xdr:row>
                    <xdr:rowOff>0</xdr:rowOff>
                  </from>
                  <to>
                    <xdr:col>11</xdr:col>
                    <xdr:colOff>571500</xdr:colOff>
                    <xdr:row>11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DB8B5-BED3-4B26-B855-18933DB94192}">
  <sheetPr codeName="Sheet4"/>
  <dimension ref="A1:J1004"/>
  <sheetViews>
    <sheetView zoomScaleNormal="100" workbookViewId="0">
      <selection activeCell="I465" sqref="I465"/>
    </sheetView>
  </sheetViews>
  <sheetFormatPr defaultRowHeight="14.4" x14ac:dyDescent="0.3"/>
  <cols>
    <col min="2" max="2" width="10" bestFit="1" customWidth="1"/>
    <col min="6" max="6" width="10" bestFit="1" customWidth="1"/>
    <col min="9" max="9" width="18.77734375" bestFit="1" customWidth="1"/>
  </cols>
  <sheetData>
    <row r="1" spans="1:10" ht="30" x14ac:dyDescent="0.5">
      <c r="A1" s="4" t="s">
        <v>5</v>
      </c>
    </row>
    <row r="2" spans="1:10" ht="15.6" x14ac:dyDescent="0.3">
      <c r="B2" s="6" t="s">
        <v>9</v>
      </c>
      <c r="C2" s="6">
        <f>SUM(C5:C1004)</f>
        <v>11320</v>
      </c>
      <c r="D2" s="6">
        <f>SUM(D5:D1004)</f>
        <v>9380</v>
      </c>
      <c r="E2" s="7"/>
      <c r="F2" s="6" t="s">
        <v>10</v>
      </c>
      <c r="G2" s="6">
        <f>SUM(G5:G1004)</f>
        <v>1990</v>
      </c>
      <c r="I2" s="6" t="s">
        <v>18</v>
      </c>
      <c r="J2" s="6">
        <f>SUM(C2,D2,G2)</f>
        <v>22690</v>
      </c>
    </row>
    <row r="3" spans="1:10" s="3" customFormat="1" ht="13.8" x14ac:dyDescent="0.25"/>
    <row r="4" spans="1:10" ht="15.6" x14ac:dyDescent="0.3">
      <c r="B4" s="6" t="s">
        <v>2</v>
      </c>
      <c r="C4" s="6" t="s">
        <v>8</v>
      </c>
      <c r="D4" s="6" t="s">
        <v>12</v>
      </c>
      <c r="F4" s="6" t="s">
        <v>2</v>
      </c>
      <c r="G4" s="6" t="s">
        <v>8</v>
      </c>
    </row>
    <row r="5" spans="1:10" ht="15.6" x14ac:dyDescent="0.3">
      <c r="B5" s="8">
        <v>0</v>
      </c>
      <c r="C5" s="5"/>
      <c r="D5" s="10"/>
      <c r="F5" s="8">
        <v>0</v>
      </c>
      <c r="G5" s="5"/>
    </row>
    <row r="6" spans="1:10" ht="15.6" x14ac:dyDescent="0.3">
      <c r="B6" s="8">
        <v>1</v>
      </c>
      <c r="C6" s="5"/>
      <c r="D6" s="10"/>
      <c r="F6" s="8">
        <v>1</v>
      </c>
      <c r="G6" s="5"/>
    </row>
    <row r="7" spans="1:10" ht="15.6" x14ac:dyDescent="0.3">
      <c r="B7" s="8">
        <v>2</v>
      </c>
      <c r="C7" s="5"/>
      <c r="D7" s="10"/>
      <c r="F7" s="8">
        <v>2</v>
      </c>
      <c r="G7" s="5"/>
    </row>
    <row r="8" spans="1:10" ht="15.6" x14ac:dyDescent="0.3">
      <c r="B8" s="8">
        <v>3</v>
      </c>
      <c r="C8" s="5"/>
      <c r="D8" s="10"/>
      <c r="F8" s="8">
        <v>3</v>
      </c>
      <c r="G8" s="5"/>
    </row>
    <row r="9" spans="1:10" ht="15.6" x14ac:dyDescent="0.3">
      <c r="B9" s="8">
        <v>4</v>
      </c>
      <c r="C9" s="5"/>
      <c r="D9" s="10"/>
      <c r="F9" s="8">
        <v>4</v>
      </c>
      <c r="G9" s="5"/>
    </row>
    <row r="10" spans="1:10" ht="15.6" x14ac:dyDescent="0.3">
      <c r="B10" s="8">
        <v>5</v>
      </c>
      <c r="C10" s="5"/>
      <c r="D10" s="10"/>
      <c r="F10" s="8">
        <v>5</v>
      </c>
      <c r="G10" s="5"/>
    </row>
    <row r="11" spans="1:10" ht="15.6" x14ac:dyDescent="0.3">
      <c r="B11" s="8">
        <v>6</v>
      </c>
      <c r="C11" s="5"/>
      <c r="D11" s="10"/>
      <c r="F11" s="8">
        <v>6</v>
      </c>
      <c r="G11" s="5"/>
    </row>
    <row r="12" spans="1:10" ht="15.6" x14ac:dyDescent="0.3">
      <c r="B12" s="8">
        <v>7</v>
      </c>
      <c r="C12" s="5"/>
      <c r="D12" s="10"/>
      <c r="F12" s="8">
        <v>7</v>
      </c>
      <c r="G12" s="5"/>
    </row>
    <row r="13" spans="1:10" ht="15.6" x14ac:dyDescent="0.3">
      <c r="B13" s="8">
        <v>8</v>
      </c>
      <c r="C13" s="5"/>
      <c r="D13" s="10"/>
      <c r="F13" s="8">
        <v>8</v>
      </c>
      <c r="G13" s="5"/>
    </row>
    <row r="14" spans="1:10" ht="15.6" x14ac:dyDescent="0.3">
      <c r="B14" s="8">
        <v>9</v>
      </c>
      <c r="C14" s="5"/>
      <c r="D14" s="10"/>
      <c r="F14" s="8">
        <v>9</v>
      </c>
      <c r="G14" s="5">
        <v>50</v>
      </c>
    </row>
    <row r="15" spans="1:10" ht="15.6" x14ac:dyDescent="0.3">
      <c r="B15" s="8">
        <v>10</v>
      </c>
      <c r="C15" s="5"/>
      <c r="D15" s="10"/>
      <c r="F15" s="8">
        <v>10</v>
      </c>
      <c r="G15" s="5"/>
    </row>
    <row r="16" spans="1:10" ht="15.6" x14ac:dyDescent="0.3">
      <c r="B16" s="8">
        <v>11</v>
      </c>
      <c r="C16" s="5"/>
      <c r="D16" s="10"/>
      <c r="F16" s="8">
        <v>11</v>
      </c>
      <c r="G16" s="5"/>
    </row>
    <row r="17" spans="2:7" ht="15.6" x14ac:dyDescent="0.3">
      <c r="B17" s="8">
        <v>12</v>
      </c>
      <c r="C17" s="5"/>
      <c r="D17" s="10"/>
      <c r="F17" s="8">
        <v>12</v>
      </c>
      <c r="G17" s="5"/>
    </row>
    <row r="18" spans="2:7" ht="15.6" x14ac:dyDescent="0.3">
      <c r="B18" s="8">
        <v>13</v>
      </c>
      <c r="C18" s="5">
        <v>50</v>
      </c>
      <c r="D18" s="10"/>
      <c r="F18" s="8">
        <v>13</v>
      </c>
      <c r="G18" s="5"/>
    </row>
    <row r="19" spans="2:7" ht="15.6" x14ac:dyDescent="0.3">
      <c r="B19" s="8">
        <v>14</v>
      </c>
      <c r="C19" s="5"/>
      <c r="D19" s="10"/>
      <c r="F19" s="8">
        <v>14</v>
      </c>
      <c r="G19" s="5"/>
    </row>
    <row r="20" spans="2:7" ht="15.6" x14ac:dyDescent="0.3">
      <c r="B20" s="8">
        <v>15</v>
      </c>
      <c r="C20" s="5">
        <v>70</v>
      </c>
      <c r="D20" s="10">
        <v>50</v>
      </c>
      <c r="F20" s="8">
        <v>15</v>
      </c>
      <c r="G20" s="5">
        <v>20</v>
      </c>
    </row>
    <row r="21" spans="2:7" ht="15.6" x14ac:dyDescent="0.3">
      <c r="B21" s="8">
        <v>16</v>
      </c>
      <c r="C21" s="5"/>
      <c r="D21" s="10"/>
      <c r="F21" s="8">
        <v>16</v>
      </c>
      <c r="G21" s="5"/>
    </row>
    <row r="22" spans="2:7" ht="15.6" x14ac:dyDescent="0.3">
      <c r="B22" s="8">
        <v>17</v>
      </c>
      <c r="C22" s="5"/>
      <c r="D22" s="10"/>
      <c r="F22" s="8">
        <v>17</v>
      </c>
      <c r="G22" s="5"/>
    </row>
    <row r="23" spans="2:7" ht="15.6" x14ac:dyDescent="0.3">
      <c r="B23" s="8">
        <v>18</v>
      </c>
      <c r="C23" s="5"/>
      <c r="D23" s="10"/>
      <c r="F23" s="8">
        <v>18</v>
      </c>
      <c r="G23" s="5"/>
    </row>
    <row r="24" spans="2:7" ht="15.6" x14ac:dyDescent="0.3">
      <c r="B24" s="8">
        <v>19</v>
      </c>
      <c r="C24" s="5"/>
      <c r="D24" s="10"/>
      <c r="F24" s="8">
        <v>19</v>
      </c>
      <c r="G24" s="5"/>
    </row>
    <row r="25" spans="2:7" ht="15.6" x14ac:dyDescent="0.3">
      <c r="B25" s="8">
        <v>20</v>
      </c>
      <c r="C25" s="5"/>
      <c r="D25" s="10"/>
      <c r="F25" s="8">
        <v>20</v>
      </c>
      <c r="G25" s="5"/>
    </row>
    <row r="26" spans="2:7" ht="15.6" x14ac:dyDescent="0.3">
      <c r="B26" s="8">
        <v>21</v>
      </c>
      <c r="C26" s="5"/>
      <c r="D26" s="10"/>
      <c r="F26" s="8">
        <v>21</v>
      </c>
      <c r="G26" s="5"/>
    </row>
    <row r="27" spans="2:7" ht="15.6" x14ac:dyDescent="0.3">
      <c r="B27" s="8">
        <v>22</v>
      </c>
      <c r="C27" s="5"/>
      <c r="D27" s="10"/>
      <c r="F27" s="8">
        <v>22</v>
      </c>
      <c r="G27" s="5"/>
    </row>
    <row r="28" spans="2:7" ht="15.6" x14ac:dyDescent="0.3">
      <c r="B28" s="8">
        <v>23</v>
      </c>
      <c r="C28" s="5"/>
      <c r="D28" s="10"/>
      <c r="F28" s="8">
        <v>23</v>
      </c>
      <c r="G28" s="5"/>
    </row>
    <row r="29" spans="2:7" ht="15.6" x14ac:dyDescent="0.3">
      <c r="B29" s="8">
        <v>24</v>
      </c>
      <c r="C29" s="5"/>
      <c r="D29" s="10"/>
      <c r="F29" s="8">
        <v>24</v>
      </c>
      <c r="G29" s="5"/>
    </row>
    <row r="30" spans="2:7" ht="15.6" x14ac:dyDescent="0.3">
      <c r="B30" s="8">
        <v>25</v>
      </c>
      <c r="C30" s="5"/>
      <c r="D30" s="10"/>
      <c r="F30" s="8">
        <v>25</v>
      </c>
      <c r="G30" s="5"/>
    </row>
    <row r="31" spans="2:7" ht="15.6" x14ac:dyDescent="0.3">
      <c r="B31" s="8">
        <v>26</v>
      </c>
      <c r="C31" s="5"/>
      <c r="D31" s="10"/>
      <c r="F31" s="8">
        <v>26</v>
      </c>
      <c r="G31" s="5"/>
    </row>
    <row r="32" spans="2:7" ht="15.6" x14ac:dyDescent="0.3">
      <c r="B32" s="8">
        <v>27</v>
      </c>
      <c r="C32" s="5"/>
      <c r="D32" s="10"/>
      <c r="F32" s="8">
        <v>27</v>
      </c>
      <c r="G32" s="5"/>
    </row>
    <row r="33" spans="2:7" ht="15.6" x14ac:dyDescent="0.3">
      <c r="B33" s="8">
        <v>28</v>
      </c>
      <c r="C33" s="5"/>
      <c r="D33" s="10"/>
      <c r="F33" s="8">
        <v>28</v>
      </c>
      <c r="G33" s="5"/>
    </row>
    <row r="34" spans="2:7" ht="15.6" x14ac:dyDescent="0.3">
      <c r="B34" s="8">
        <v>29</v>
      </c>
      <c r="C34" s="5"/>
      <c r="D34" s="10"/>
      <c r="F34" s="8">
        <v>29</v>
      </c>
      <c r="G34" s="5"/>
    </row>
    <row r="35" spans="2:7" ht="15.6" x14ac:dyDescent="0.3">
      <c r="B35" s="8">
        <v>30</v>
      </c>
      <c r="C35" s="5"/>
      <c r="D35" s="10"/>
      <c r="F35" s="8">
        <v>30</v>
      </c>
      <c r="G35" s="5"/>
    </row>
    <row r="36" spans="2:7" ht="15.6" x14ac:dyDescent="0.3">
      <c r="B36" s="8">
        <v>31</v>
      </c>
      <c r="C36" s="5">
        <v>50</v>
      </c>
      <c r="D36" s="10"/>
      <c r="F36" s="8">
        <v>31</v>
      </c>
      <c r="G36" s="5"/>
    </row>
    <row r="37" spans="2:7" ht="15.6" x14ac:dyDescent="0.3">
      <c r="B37" s="8">
        <v>32</v>
      </c>
      <c r="C37" s="5"/>
      <c r="D37" s="10"/>
      <c r="F37" s="8">
        <v>32</v>
      </c>
      <c r="G37" s="5"/>
    </row>
    <row r="38" spans="2:7" ht="15.6" x14ac:dyDescent="0.3">
      <c r="B38" s="8">
        <v>33</v>
      </c>
      <c r="C38" s="5"/>
      <c r="D38" s="10"/>
      <c r="F38" s="8">
        <v>33</v>
      </c>
      <c r="G38" s="5"/>
    </row>
    <row r="39" spans="2:7" ht="15.6" x14ac:dyDescent="0.3">
      <c r="B39" s="8">
        <v>34</v>
      </c>
      <c r="C39" s="5"/>
      <c r="D39" s="10"/>
      <c r="F39" s="8">
        <v>34</v>
      </c>
      <c r="G39" s="5"/>
    </row>
    <row r="40" spans="2:7" ht="15.6" x14ac:dyDescent="0.3">
      <c r="B40" s="8">
        <v>35</v>
      </c>
      <c r="C40" s="5">
        <v>50</v>
      </c>
      <c r="D40" s="10">
        <v>50</v>
      </c>
      <c r="F40" s="8">
        <v>35</v>
      </c>
      <c r="G40" s="5"/>
    </row>
    <row r="41" spans="2:7" ht="15.6" x14ac:dyDescent="0.3">
      <c r="B41" s="8">
        <v>36</v>
      </c>
      <c r="C41" s="5"/>
      <c r="D41" s="10"/>
      <c r="F41" s="8">
        <v>36</v>
      </c>
      <c r="G41" s="5"/>
    </row>
    <row r="42" spans="2:7" ht="15.6" x14ac:dyDescent="0.3">
      <c r="B42" s="8">
        <v>37</v>
      </c>
      <c r="C42" s="5"/>
      <c r="D42" s="10"/>
      <c r="F42" s="8">
        <v>37</v>
      </c>
      <c r="G42" s="5"/>
    </row>
    <row r="43" spans="2:7" ht="15.6" x14ac:dyDescent="0.3">
      <c r="B43" s="8">
        <v>38</v>
      </c>
      <c r="C43" s="5"/>
      <c r="D43" s="10"/>
      <c r="F43" s="8">
        <v>38</v>
      </c>
      <c r="G43" s="5"/>
    </row>
    <row r="44" spans="2:7" ht="15.6" x14ac:dyDescent="0.3">
      <c r="B44" s="8">
        <v>39</v>
      </c>
      <c r="C44" s="5"/>
      <c r="D44" s="10"/>
      <c r="F44" s="8">
        <v>39</v>
      </c>
      <c r="G44" s="5"/>
    </row>
    <row r="45" spans="2:7" ht="15.6" x14ac:dyDescent="0.3">
      <c r="B45" s="8">
        <v>40</v>
      </c>
      <c r="C45" s="5"/>
      <c r="D45" s="10"/>
      <c r="F45" s="8">
        <v>40</v>
      </c>
      <c r="G45" s="5"/>
    </row>
    <row r="46" spans="2:7" ht="15.6" x14ac:dyDescent="0.3">
      <c r="B46" s="8">
        <v>41</v>
      </c>
      <c r="C46" s="5"/>
      <c r="D46" s="10"/>
      <c r="F46" s="8">
        <v>41</v>
      </c>
      <c r="G46" s="5"/>
    </row>
    <row r="47" spans="2:7" ht="15.6" x14ac:dyDescent="0.3">
      <c r="B47" s="8">
        <v>42</v>
      </c>
      <c r="C47" s="5"/>
      <c r="D47" s="10"/>
      <c r="F47" s="8">
        <v>42</v>
      </c>
      <c r="G47" s="5"/>
    </row>
    <row r="48" spans="2:7" ht="15.6" x14ac:dyDescent="0.3">
      <c r="B48" s="8">
        <v>43</v>
      </c>
      <c r="C48" s="5"/>
      <c r="D48" s="10"/>
      <c r="F48" s="8">
        <v>43</v>
      </c>
      <c r="G48" s="5"/>
    </row>
    <row r="49" spans="2:7" ht="15.6" x14ac:dyDescent="0.3">
      <c r="B49" s="8">
        <v>44</v>
      </c>
      <c r="C49" s="5"/>
      <c r="D49" s="10"/>
      <c r="F49" s="8">
        <v>44</v>
      </c>
      <c r="G49" s="5"/>
    </row>
    <row r="50" spans="2:7" ht="15.6" x14ac:dyDescent="0.3">
      <c r="B50" s="8">
        <v>45</v>
      </c>
      <c r="C50" s="5">
        <v>100</v>
      </c>
      <c r="D50" s="10">
        <v>100</v>
      </c>
      <c r="F50" s="8">
        <v>45</v>
      </c>
      <c r="G50" s="5"/>
    </row>
    <row r="51" spans="2:7" ht="15.6" x14ac:dyDescent="0.3">
      <c r="B51" s="8">
        <v>46</v>
      </c>
      <c r="C51" s="5"/>
      <c r="D51" s="10"/>
      <c r="F51" s="8">
        <v>46</v>
      </c>
      <c r="G51" s="5"/>
    </row>
    <row r="52" spans="2:7" ht="15.6" x14ac:dyDescent="0.3">
      <c r="B52" s="8">
        <v>47</v>
      </c>
      <c r="C52" s="5"/>
      <c r="D52" s="10"/>
      <c r="F52" s="8">
        <v>47</v>
      </c>
      <c r="G52" s="5"/>
    </row>
    <row r="53" spans="2:7" ht="15.6" x14ac:dyDescent="0.3">
      <c r="B53" s="8">
        <v>48</v>
      </c>
      <c r="C53" s="5"/>
      <c r="D53" s="10"/>
      <c r="F53" s="8">
        <v>48</v>
      </c>
      <c r="G53" s="5"/>
    </row>
    <row r="54" spans="2:7" ht="15.6" x14ac:dyDescent="0.3">
      <c r="B54" s="8">
        <v>49</v>
      </c>
      <c r="C54" s="5"/>
      <c r="D54" s="10"/>
      <c r="F54" s="8">
        <v>49</v>
      </c>
      <c r="G54" s="5"/>
    </row>
    <row r="55" spans="2:7" ht="15.6" x14ac:dyDescent="0.3">
      <c r="B55" s="8">
        <v>50</v>
      </c>
      <c r="C55" s="5"/>
      <c r="D55" s="10"/>
      <c r="F55" s="8">
        <v>50</v>
      </c>
      <c r="G55" s="5"/>
    </row>
    <row r="56" spans="2:7" ht="15.6" x14ac:dyDescent="0.3">
      <c r="B56" s="8">
        <v>51</v>
      </c>
      <c r="C56" s="5"/>
      <c r="D56" s="10"/>
      <c r="F56" s="8">
        <v>51</v>
      </c>
      <c r="G56" s="5"/>
    </row>
    <row r="57" spans="2:7" ht="15.6" x14ac:dyDescent="0.3">
      <c r="B57" s="8">
        <v>52</v>
      </c>
      <c r="C57" s="5"/>
      <c r="D57" s="10"/>
      <c r="F57" s="8">
        <v>52</v>
      </c>
      <c r="G57" s="5"/>
    </row>
    <row r="58" spans="2:7" ht="15.6" x14ac:dyDescent="0.3">
      <c r="B58" s="8">
        <v>53</v>
      </c>
      <c r="C58" s="5"/>
      <c r="D58" s="10"/>
      <c r="F58" s="8">
        <v>53</v>
      </c>
      <c r="G58" s="5"/>
    </row>
    <row r="59" spans="2:7" ht="15.6" x14ac:dyDescent="0.3">
      <c r="B59" s="8">
        <v>54</v>
      </c>
      <c r="C59" s="5"/>
      <c r="D59" s="10"/>
      <c r="F59" s="8">
        <v>54</v>
      </c>
      <c r="G59" s="5"/>
    </row>
    <row r="60" spans="2:7" ht="15.6" x14ac:dyDescent="0.3">
      <c r="B60" s="8">
        <v>55</v>
      </c>
      <c r="C60" s="5"/>
      <c r="D60" s="10"/>
      <c r="F60" s="8">
        <v>55</v>
      </c>
      <c r="G60" s="5"/>
    </row>
    <row r="61" spans="2:7" ht="15.6" x14ac:dyDescent="0.3">
      <c r="B61" s="8">
        <v>56</v>
      </c>
      <c r="C61" s="5"/>
      <c r="D61" s="10"/>
      <c r="F61" s="8">
        <v>56</v>
      </c>
      <c r="G61" s="5"/>
    </row>
    <row r="62" spans="2:7" ht="15.6" x14ac:dyDescent="0.3">
      <c r="B62" s="8">
        <v>57</v>
      </c>
      <c r="C62" s="5"/>
      <c r="D62" s="10"/>
      <c r="F62" s="8">
        <v>57</v>
      </c>
      <c r="G62" s="5"/>
    </row>
    <row r="63" spans="2:7" ht="15.6" x14ac:dyDescent="0.3">
      <c r="B63" s="8">
        <v>58</v>
      </c>
      <c r="C63" s="5"/>
      <c r="D63" s="10"/>
      <c r="F63" s="8">
        <v>58</v>
      </c>
      <c r="G63" s="5"/>
    </row>
    <row r="64" spans="2:7" ht="15.6" x14ac:dyDescent="0.3">
      <c r="B64" s="8">
        <v>59</v>
      </c>
      <c r="C64" s="5">
        <v>50</v>
      </c>
      <c r="D64" s="10"/>
      <c r="F64" s="8">
        <v>59</v>
      </c>
      <c r="G64" s="5"/>
    </row>
    <row r="65" spans="2:7" ht="15.6" x14ac:dyDescent="0.3">
      <c r="B65" s="8">
        <v>60</v>
      </c>
      <c r="C65" s="5"/>
      <c r="D65" s="10"/>
      <c r="F65" s="8">
        <v>60</v>
      </c>
      <c r="G65" s="5"/>
    </row>
    <row r="66" spans="2:7" ht="15.6" x14ac:dyDescent="0.3">
      <c r="B66" s="8">
        <v>61</v>
      </c>
      <c r="C66" s="5"/>
      <c r="D66" s="10"/>
      <c r="F66" s="8">
        <v>61</v>
      </c>
      <c r="G66" s="5"/>
    </row>
    <row r="67" spans="2:7" ht="15.6" x14ac:dyDescent="0.3">
      <c r="B67" s="8">
        <v>62</v>
      </c>
      <c r="C67" s="5"/>
      <c r="D67" s="10"/>
      <c r="F67" s="8">
        <v>62</v>
      </c>
      <c r="G67" s="5"/>
    </row>
    <row r="68" spans="2:7" ht="15.6" x14ac:dyDescent="0.3">
      <c r="B68" s="8">
        <v>63</v>
      </c>
      <c r="C68" s="5"/>
      <c r="D68" s="10"/>
      <c r="F68" s="8">
        <v>63</v>
      </c>
      <c r="G68" s="5"/>
    </row>
    <row r="69" spans="2:7" ht="15.6" x14ac:dyDescent="0.3">
      <c r="B69" s="8">
        <v>64</v>
      </c>
      <c r="C69" s="5"/>
      <c r="D69" s="10"/>
      <c r="F69" s="8">
        <v>64</v>
      </c>
      <c r="G69" s="5"/>
    </row>
    <row r="70" spans="2:7" ht="15.6" x14ac:dyDescent="0.3">
      <c r="B70" s="8">
        <v>65</v>
      </c>
      <c r="C70" s="5"/>
      <c r="D70" s="10"/>
      <c r="F70" s="8">
        <v>65</v>
      </c>
      <c r="G70" s="5"/>
    </row>
    <row r="71" spans="2:7" ht="15.6" x14ac:dyDescent="0.3">
      <c r="B71" s="8">
        <v>66</v>
      </c>
      <c r="C71" s="5"/>
      <c r="D71" s="10"/>
      <c r="F71" s="8">
        <v>66</v>
      </c>
      <c r="G71" s="5"/>
    </row>
    <row r="72" spans="2:7" ht="15.6" x14ac:dyDescent="0.3">
      <c r="B72" s="8">
        <v>67</v>
      </c>
      <c r="C72" s="5"/>
      <c r="D72" s="10"/>
      <c r="F72" s="8">
        <v>67</v>
      </c>
      <c r="G72" s="5"/>
    </row>
    <row r="73" spans="2:7" ht="15.6" x14ac:dyDescent="0.3">
      <c r="B73" s="8">
        <v>68</v>
      </c>
      <c r="C73" s="5"/>
      <c r="D73" s="10"/>
      <c r="F73" s="8">
        <v>68</v>
      </c>
      <c r="G73" s="5"/>
    </row>
    <row r="74" spans="2:7" ht="15.6" x14ac:dyDescent="0.3">
      <c r="B74" s="8">
        <v>69</v>
      </c>
      <c r="C74" s="5"/>
      <c r="D74" s="10"/>
      <c r="F74" s="8">
        <v>69</v>
      </c>
      <c r="G74" s="5"/>
    </row>
    <row r="75" spans="2:7" ht="15.6" x14ac:dyDescent="0.3">
      <c r="B75" s="8">
        <v>70</v>
      </c>
      <c r="C75" s="5"/>
      <c r="D75" s="10"/>
      <c r="F75" s="8">
        <v>70</v>
      </c>
      <c r="G75" s="5"/>
    </row>
    <row r="76" spans="2:7" ht="15.6" x14ac:dyDescent="0.3">
      <c r="B76" s="8">
        <v>71</v>
      </c>
      <c r="C76" s="5"/>
      <c r="D76" s="10"/>
      <c r="F76" s="8">
        <v>71</v>
      </c>
      <c r="G76" s="5"/>
    </row>
    <row r="77" spans="2:7" ht="15.6" x14ac:dyDescent="0.3">
      <c r="B77" s="8">
        <v>72</v>
      </c>
      <c r="C77" s="5"/>
      <c r="D77" s="10"/>
      <c r="F77" s="8">
        <v>72</v>
      </c>
      <c r="G77" s="5"/>
    </row>
    <row r="78" spans="2:7" ht="15.6" x14ac:dyDescent="0.3">
      <c r="B78" s="8">
        <v>73</v>
      </c>
      <c r="C78" s="5"/>
      <c r="D78" s="10"/>
      <c r="F78" s="8">
        <v>73</v>
      </c>
      <c r="G78" s="5"/>
    </row>
    <row r="79" spans="2:7" ht="15.6" x14ac:dyDescent="0.3">
      <c r="B79" s="8">
        <v>74</v>
      </c>
      <c r="C79" s="5"/>
      <c r="D79" s="10"/>
      <c r="F79" s="8">
        <v>74</v>
      </c>
      <c r="G79" s="5"/>
    </row>
    <row r="80" spans="2:7" ht="15.6" x14ac:dyDescent="0.3">
      <c r="B80" s="8">
        <v>75</v>
      </c>
      <c r="C80" s="5"/>
      <c r="D80" s="10"/>
      <c r="F80" s="8">
        <v>75</v>
      </c>
      <c r="G80" s="5"/>
    </row>
    <row r="81" spans="2:7" ht="15.6" x14ac:dyDescent="0.3">
      <c r="B81" s="8">
        <v>76</v>
      </c>
      <c r="C81" s="5"/>
      <c r="D81" s="10"/>
      <c r="F81" s="8">
        <v>76</v>
      </c>
      <c r="G81" s="5"/>
    </row>
    <row r="82" spans="2:7" ht="15.6" x14ac:dyDescent="0.3">
      <c r="B82" s="8">
        <v>77</v>
      </c>
      <c r="C82" s="5"/>
      <c r="D82" s="10"/>
      <c r="F82" s="8">
        <v>77</v>
      </c>
      <c r="G82" s="5"/>
    </row>
    <row r="83" spans="2:7" ht="15.6" x14ac:dyDescent="0.3">
      <c r="B83" s="8">
        <v>78</v>
      </c>
      <c r="C83" s="5"/>
      <c r="D83" s="10"/>
      <c r="F83" s="8">
        <v>78</v>
      </c>
      <c r="G83" s="5"/>
    </row>
    <row r="84" spans="2:7" ht="15.6" x14ac:dyDescent="0.3">
      <c r="B84" s="8">
        <v>79</v>
      </c>
      <c r="C84" s="5">
        <v>50</v>
      </c>
      <c r="D84" s="10">
        <v>50</v>
      </c>
      <c r="F84" s="8">
        <v>79</v>
      </c>
      <c r="G84" s="5"/>
    </row>
    <row r="85" spans="2:7" ht="15.6" x14ac:dyDescent="0.3">
      <c r="B85" s="8">
        <v>80</v>
      </c>
      <c r="C85" s="5"/>
      <c r="D85" s="10"/>
      <c r="F85" s="8">
        <v>80</v>
      </c>
      <c r="G85" s="5"/>
    </row>
    <row r="86" spans="2:7" ht="15.6" x14ac:dyDescent="0.3">
      <c r="B86" s="8">
        <v>81</v>
      </c>
      <c r="C86" s="5"/>
      <c r="D86" s="10"/>
      <c r="F86" s="8">
        <v>81</v>
      </c>
      <c r="G86" s="5"/>
    </row>
    <row r="87" spans="2:7" ht="15.6" x14ac:dyDescent="0.3">
      <c r="B87" s="8">
        <v>82</v>
      </c>
      <c r="C87" s="5"/>
      <c r="D87" s="10"/>
      <c r="F87" s="8">
        <v>82</v>
      </c>
      <c r="G87" s="5"/>
    </row>
    <row r="88" spans="2:7" ht="15.6" x14ac:dyDescent="0.3">
      <c r="B88" s="8">
        <v>83</v>
      </c>
      <c r="C88" s="5"/>
      <c r="D88" s="10"/>
      <c r="F88" s="8">
        <v>83</v>
      </c>
      <c r="G88" s="5"/>
    </row>
    <row r="89" spans="2:7" ht="15.6" x14ac:dyDescent="0.3">
      <c r="B89" s="8">
        <v>84</v>
      </c>
      <c r="C89" s="5"/>
      <c r="D89" s="10"/>
      <c r="F89" s="8">
        <v>84</v>
      </c>
      <c r="G89" s="5"/>
    </row>
    <row r="90" spans="2:7" ht="15.6" x14ac:dyDescent="0.3">
      <c r="B90" s="8">
        <v>85</v>
      </c>
      <c r="C90" s="5"/>
      <c r="D90" s="10"/>
      <c r="F90" s="8">
        <v>85</v>
      </c>
      <c r="G90" s="5"/>
    </row>
    <row r="91" spans="2:7" ht="15.6" x14ac:dyDescent="0.3">
      <c r="B91" s="8">
        <v>86</v>
      </c>
      <c r="C91" s="5"/>
      <c r="D91" s="10"/>
      <c r="F91" s="8">
        <v>86</v>
      </c>
      <c r="G91" s="5"/>
    </row>
    <row r="92" spans="2:7" ht="15.6" x14ac:dyDescent="0.3">
      <c r="B92" s="8">
        <v>87</v>
      </c>
      <c r="C92" s="5"/>
      <c r="D92" s="10"/>
      <c r="F92" s="8">
        <v>87</v>
      </c>
      <c r="G92" s="5"/>
    </row>
    <row r="93" spans="2:7" ht="15.6" x14ac:dyDescent="0.3">
      <c r="B93" s="8">
        <v>88</v>
      </c>
      <c r="C93" s="5"/>
      <c r="D93" s="10"/>
      <c r="F93" s="8">
        <v>88</v>
      </c>
      <c r="G93" s="5"/>
    </row>
    <row r="94" spans="2:7" ht="15.6" x14ac:dyDescent="0.3">
      <c r="B94" s="8">
        <v>89</v>
      </c>
      <c r="C94" s="5"/>
      <c r="D94" s="10"/>
      <c r="F94" s="8">
        <v>89</v>
      </c>
      <c r="G94" s="5"/>
    </row>
    <row r="95" spans="2:7" ht="15.6" x14ac:dyDescent="0.3">
      <c r="B95" s="8">
        <v>90</v>
      </c>
      <c r="C95" s="5">
        <v>50</v>
      </c>
      <c r="D95" s="10"/>
      <c r="F95" s="8">
        <v>90</v>
      </c>
      <c r="G95" s="5">
        <v>50</v>
      </c>
    </row>
    <row r="96" spans="2:7" ht="15.6" x14ac:dyDescent="0.3">
      <c r="B96" s="8">
        <v>91</v>
      </c>
      <c r="C96" s="5">
        <v>100</v>
      </c>
      <c r="D96" s="10">
        <v>100</v>
      </c>
      <c r="F96" s="8">
        <v>91</v>
      </c>
      <c r="G96" s="5"/>
    </row>
    <row r="97" spans="2:7" ht="15.6" x14ac:dyDescent="0.3">
      <c r="B97" s="8">
        <v>92</v>
      </c>
      <c r="C97" s="5"/>
      <c r="D97" s="10"/>
      <c r="F97" s="8">
        <v>92</v>
      </c>
      <c r="G97" s="5"/>
    </row>
    <row r="98" spans="2:7" ht="15.6" x14ac:dyDescent="0.3">
      <c r="B98" s="8">
        <v>93</v>
      </c>
      <c r="C98" s="5">
        <v>100</v>
      </c>
      <c r="D98" s="10">
        <v>100</v>
      </c>
      <c r="F98" s="8">
        <v>93</v>
      </c>
      <c r="G98" s="5"/>
    </row>
    <row r="99" spans="2:7" ht="15.6" x14ac:dyDescent="0.3">
      <c r="B99" s="8">
        <v>94</v>
      </c>
      <c r="C99" s="5"/>
      <c r="D99" s="10"/>
      <c r="F99" s="8">
        <v>94</v>
      </c>
      <c r="G99" s="5"/>
    </row>
    <row r="100" spans="2:7" ht="15.6" x14ac:dyDescent="0.3">
      <c r="B100" s="8">
        <v>95</v>
      </c>
      <c r="C100" s="5">
        <v>50</v>
      </c>
      <c r="D100" s="10"/>
      <c r="F100" s="8">
        <v>95</v>
      </c>
      <c r="G100" s="5"/>
    </row>
    <row r="101" spans="2:7" ht="15.6" x14ac:dyDescent="0.3">
      <c r="B101" s="8">
        <v>96</v>
      </c>
      <c r="C101" s="5"/>
      <c r="D101" s="10"/>
      <c r="F101" s="8">
        <v>96</v>
      </c>
      <c r="G101" s="5"/>
    </row>
    <row r="102" spans="2:7" ht="15.6" x14ac:dyDescent="0.3">
      <c r="B102" s="8">
        <v>97</v>
      </c>
      <c r="C102" s="5"/>
      <c r="D102" s="10"/>
      <c r="F102" s="8">
        <v>97</v>
      </c>
      <c r="G102" s="5"/>
    </row>
    <row r="103" spans="2:7" ht="15.6" x14ac:dyDescent="0.3">
      <c r="B103" s="8">
        <v>98</v>
      </c>
      <c r="C103" s="5"/>
      <c r="D103" s="10"/>
      <c r="F103" s="8">
        <v>98</v>
      </c>
      <c r="G103" s="5"/>
    </row>
    <row r="104" spans="2:7" ht="15.6" x14ac:dyDescent="0.3">
      <c r="B104" s="8">
        <v>99</v>
      </c>
      <c r="C104" s="5"/>
      <c r="D104" s="10"/>
      <c r="F104" s="8">
        <v>99</v>
      </c>
      <c r="G104" s="5"/>
    </row>
    <row r="105" spans="2:7" ht="15.6" x14ac:dyDescent="0.3">
      <c r="B105" s="8">
        <v>100</v>
      </c>
      <c r="C105" s="5"/>
      <c r="D105" s="10"/>
      <c r="F105" s="8">
        <v>100</v>
      </c>
      <c r="G105" s="5"/>
    </row>
    <row r="106" spans="2:7" ht="15.6" x14ac:dyDescent="0.3">
      <c r="B106" s="8">
        <v>101</v>
      </c>
      <c r="C106" s="5"/>
      <c r="D106" s="10"/>
      <c r="F106" s="8">
        <v>101</v>
      </c>
      <c r="G106" s="5"/>
    </row>
    <row r="107" spans="2:7" ht="15.6" x14ac:dyDescent="0.3">
      <c r="B107" s="8">
        <v>102</v>
      </c>
      <c r="C107" s="5"/>
      <c r="D107" s="10"/>
      <c r="F107" s="8">
        <v>102</v>
      </c>
      <c r="G107" s="5"/>
    </row>
    <row r="108" spans="2:7" ht="15.6" x14ac:dyDescent="0.3">
      <c r="B108" s="8">
        <v>103</v>
      </c>
      <c r="C108" s="5">
        <v>50</v>
      </c>
      <c r="D108" s="10"/>
      <c r="F108" s="8">
        <v>103</v>
      </c>
      <c r="G108" s="5"/>
    </row>
    <row r="109" spans="2:7" ht="15.6" x14ac:dyDescent="0.3">
      <c r="B109" s="8">
        <v>104</v>
      </c>
      <c r="C109" s="5"/>
      <c r="D109" s="10"/>
      <c r="F109" s="8">
        <v>104</v>
      </c>
      <c r="G109" s="5"/>
    </row>
    <row r="110" spans="2:7" ht="15.6" x14ac:dyDescent="0.3">
      <c r="B110" s="8">
        <v>105</v>
      </c>
      <c r="C110" s="5">
        <v>200</v>
      </c>
      <c r="D110" s="10">
        <v>100</v>
      </c>
      <c r="F110" s="8">
        <v>105</v>
      </c>
      <c r="G110" s="5"/>
    </row>
    <row r="111" spans="2:7" ht="15.6" x14ac:dyDescent="0.3">
      <c r="B111" s="8">
        <v>106</v>
      </c>
      <c r="C111" s="5"/>
      <c r="D111" s="10"/>
      <c r="F111" s="8">
        <v>106</v>
      </c>
      <c r="G111" s="5"/>
    </row>
    <row r="112" spans="2:7" ht="15.6" x14ac:dyDescent="0.3">
      <c r="B112" s="8">
        <v>107</v>
      </c>
      <c r="C112" s="5"/>
      <c r="D112" s="10"/>
      <c r="F112" s="8">
        <v>107</v>
      </c>
      <c r="G112" s="5"/>
    </row>
    <row r="113" spans="2:7" ht="15.6" x14ac:dyDescent="0.3">
      <c r="B113" s="8">
        <v>108</v>
      </c>
      <c r="C113" s="5">
        <v>50</v>
      </c>
      <c r="D113" s="10">
        <v>50</v>
      </c>
      <c r="F113" s="8">
        <v>108</v>
      </c>
      <c r="G113" s="5"/>
    </row>
    <row r="114" spans="2:7" ht="15.6" x14ac:dyDescent="0.3">
      <c r="B114" s="8">
        <v>109</v>
      </c>
      <c r="C114" s="5"/>
      <c r="D114" s="10"/>
      <c r="F114" s="8">
        <v>109</v>
      </c>
      <c r="G114" s="5"/>
    </row>
    <row r="115" spans="2:7" ht="15.6" x14ac:dyDescent="0.3">
      <c r="B115" s="8">
        <v>110</v>
      </c>
      <c r="C115" s="5"/>
      <c r="D115" s="10"/>
      <c r="F115" s="8">
        <v>110</v>
      </c>
      <c r="G115" s="5"/>
    </row>
    <row r="116" spans="2:7" ht="15.6" x14ac:dyDescent="0.3">
      <c r="B116" s="8">
        <v>111</v>
      </c>
      <c r="C116" s="5"/>
      <c r="D116" s="10"/>
      <c r="F116" s="8">
        <v>111</v>
      </c>
      <c r="G116" s="5"/>
    </row>
    <row r="117" spans="2:7" ht="15.6" x14ac:dyDescent="0.3">
      <c r="B117" s="8">
        <v>112</v>
      </c>
      <c r="C117" s="5"/>
      <c r="D117" s="10"/>
      <c r="F117" s="8">
        <v>112</v>
      </c>
      <c r="G117" s="5"/>
    </row>
    <row r="118" spans="2:7" ht="15.6" x14ac:dyDescent="0.3">
      <c r="B118" s="8">
        <v>113</v>
      </c>
      <c r="C118" s="5"/>
      <c r="D118" s="10"/>
      <c r="F118" s="8">
        <v>113</v>
      </c>
      <c r="G118" s="5"/>
    </row>
    <row r="119" spans="2:7" ht="15.6" x14ac:dyDescent="0.3">
      <c r="B119" s="8">
        <v>114</v>
      </c>
      <c r="C119" s="5"/>
      <c r="D119" s="10"/>
      <c r="F119" s="8">
        <v>114</v>
      </c>
      <c r="G119" s="5"/>
    </row>
    <row r="120" spans="2:7" ht="15.6" x14ac:dyDescent="0.3">
      <c r="B120" s="8">
        <v>115</v>
      </c>
      <c r="C120" s="5"/>
      <c r="D120" s="10"/>
      <c r="F120" s="8">
        <v>115</v>
      </c>
      <c r="G120" s="5"/>
    </row>
    <row r="121" spans="2:7" ht="15.6" x14ac:dyDescent="0.3">
      <c r="B121" s="8">
        <v>116</v>
      </c>
      <c r="C121" s="5"/>
      <c r="D121" s="10"/>
      <c r="F121" s="8">
        <v>116</v>
      </c>
      <c r="G121" s="5"/>
    </row>
    <row r="122" spans="2:7" ht="15.6" x14ac:dyDescent="0.3">
      <c r="B122" s="8">
        <v>117</v>
      </c>
      <c r="C122" s="5">
        <v>50</v>
      </c>
      <c r="D122" s="10"/>
      <c r="F122" s="8">
        <v>117</v>
      </c>
      <c r="G122" s="5"/>
    </row>
    <row r="123" spans="2:7" ht="15.6" x14ac:dyDescent="0.3">
      <c r="B123" s="8">
        <v>118</v>
      </c>
      <c r="C123" s="5"/>
      <c r="D123" s="10"/>
      <c r="F123" s="8">
        <v>118</v>
      </c>
      <c r="G123" s="5"/>
    </row>
    <row r="124" spans="2:7" ht="15.6" x14ac:dyDescent="0.3">
      <c r="B124" s="8">
        <v>119</v>
      </c>
      <c r="C124" s="5"/>
      <c r="D124" s="10"/>
      <c r="F124" s="8">
        <v>119</v>
      </c>
      <c r="G124" s="5"/>
    </row>
    <row r="125" spans="2:7" ht="15.6" x14ac:dyDescent="0.3">
      <c r="B125" s="8">
        <v>120</v>
      </c>
      <c r="C125" s="5"/>
      <c r="D125" s="10"/>
      <c r="F125" s="8">
        <v>120</v>
      </c>
      <c r="G125" s="5"/>
    </row>
    <row r="126" spans="2:7" ht="15.6" x14ac:dyDescent="0.3">
      <c r="B126" s="8">
        <v>121</v>
      </c>
      <c r="C126" s="5"/>
      <c r="D126" s="10"/>
      <c r="F126" s="8">
        <v>121</v>
      </c>
      <c r="G126" s="5"/>
    </row>
    <row r="127" spans="2:7" ht="15.6" x14ac:dyDescent="0.3">
      <c r="B127" s="8">
        <v>122</v>
      </c>
      <c r="C127" s="5"/>
      <c r="D127" s="10"/>
      <c r="F127" s="8">
        <v>122</v>
      </c>
      <c r="G127" s="5"/>
    </row>
    <row r="128" spans="2:7" ht="15.6" x14ac:dyDescent="0.3">
      <c r="B128" s="8">
        <v>123</v>
      </c>
      <c r="C128" s="5"/>
      <c r="D128" s="10"/>
      <c r="F128" s="8">
        <v>123</v>
      </c>
      <c r="G128" s="5"/>
    </row>
    <row r="129" spans="2:7" ht="15.6" x14ac:dyDescent="0.3">
      <c r="B129" s="8">
        <v>124</v>
      </c>
      <c r="C129" s="5"/>
      <c r="D129" s="10"/>
      <c r="F129" s="8">
        <v>124</v>
      </c>
      <c r="G129" s="5"/>
    </row>
    <row r="130" spans="2:7" ht="15.6" x14ac:dyDescent="0.3">
      <c r="B130" s="8">
        <v>125</v>
      </c>
      <c r="C130" s="5"/>
      <c r="D130" s="10"/>
      <c r="F130" s="8">
        <v>125</v>
      </c>
      <c r="G130" s="5"/>
    </row>
    <row r="131" spans="2:7" ht="15.6" x14ac:dyDescent="0.3">
      <c r="B131" s="8">
        <v>126</v>
      </c>
      <c r="C131" s="5"/>
      <c r="D131" s="10"/>
      <c r="F131" s="8">
        <v>126</v>
      </c>
      <c r="G131" s="5"/>
    </row>
    <row r="132" spans="2:7" ht="15.6" x14ac:dyDescent="0.3">
      <c r="B132" s="8">
        <v>127</v>
      </c>
      <c r="C132" s="5"/>
      <c r="D132" s="10"/>
      <c r="F132" s="8">
        <v>127</v>
      </c>
      <c r="G132" s="5"/>
    </row>
    <row r="133" spans="2:7" ht="15.6" x14ac:dyDescent="0.3">
      <c r="B133" s="8">
        <v>128</v>
      </c>
      <c r="C133" s="5"/>
      <c r="D133" s="10"/>
      <c r="F133" s="8">
        <v>128</v>
      </c>
      <c r="G133" s="5"/>
    </row>
    <row r="134" spans="2:7" ht="15.6" x14ac:dyDescent="0.3">
      <c r="B134" s="8">
        <v>129</v>
      </c>
      <c r="C134" s="5"/>
      <c r="D134" s="10"/>
      <c r="F134" s="8">
        <v>129</v>
      </c>
      <c r="G134" s="5"/>
    </row>
    <row r="135" spans="2:7" ht="15.6" x14ac:dyDescent="0.3">
      <c r="B135" s="8">
        <v>130</v>
      </c>
      <c r="C135" s="5">
        <v>50</v>
      </c>
      <c r="D135" s="10"/>
      <c r="F135" s="8">
        <v>130</v>
      </c>
      <c r="G135" s="5"/>
    </row>
    <row r="136" spans="2:7" ht="15.6" x14ac:dyDescent="0.3">
      <c r="B136" s="8">
        <v>131</v>
      </c>
      <c r="C136" s="5"/>
      <c r="D136" s="10"/>
      <c r="F136" s="8">
        <v>131</v>
      </c>
      <c r="G136" s="5"/>
    </row>
    <row r="137" spans="2:7" ht="15.6" x14ac:dyDescent="0.3">
      <c r="B137" s="8">
        <v>132</v>
      </c>
      <c r="C137" s="5"/>
      <c r="D137" s="10"/>
      <c r="F137" s="8">
        <v>132</v>
      </c>
      <c r="G137" s="5"/>
    </row>
    <row r="138" spans="2:7" ht="15.6" x14ac:dyDescent="0.3">
      <c r="B138" s="8">
        <v>133</v>
      </c>
      <c r="C138" s="5"/>
      <c r="D138" s="10"/>
      <c r="F138" s="8">
        <v>133</v>
      </c>
      <c r="G138" s="5"/>
    </row>
    <row r="139" spans="2:7" ht="15.6" x14ac:dyDescent="0.3">
      <c r="B139" s="8">
        <v>134</v>
      </c>
      <c r="C139" s="5"/>
      <c r="D139" s="10"/>
      <c r="F139" s="8">
        <v>134</v>
      </c>
      <c r="G139" s="5"/>
    </row>
    <row r="140" spans="2:7" ht="15.6" x14ac:dyDescent="0.3">
      <c r="B140" s="8">
        <v>135</v>
      </c>
      <c r="C140" s="5"/>
      <c r="D140" s="10"/>
      <c r="F140" s="8">
        <v>135</v>
      </c>
      <c r="G140" s="5"/>
    </row>
    <row r="141" spans="2:7" ht="15.6" x14ac:dyDescent="0.3">
      <c r="B141" s="8">
        <v>136</v>
      </c>
      <c r="C141" s="5"/>
      <c r="D141" s="10"/>
      <c r="F141" s="8">
        <v>136</v>
      </c>
      <c r="G141" s="5"/>
    </row>
    <row r="142" spans="2:7" ht="15.6" x14ac:dyDescent="0.3">
      <c r="B142" s="8">
        <v>137</v>
      </c>
      <c r="C142" s="5"/>
      <c r="D142" s="10"/>
      <c r="F142" s="8">
        <v>137</v>
      </c>
      <c r="G142" s="5"/>
    </row>
    <row r="143" spans="2:7" ht="15.6" x14ac:dyDescent="0.3">
      <c r="B143" s="8">
        <v>138</v>
      </c>
      <c r="C143" s="5"/>
      <c r="D143" s="10"/>
      <c r="F143" s="8">
        <v>138</v>
      </c>
      <c r="G143" s="5"/>
    </row>
    <row r="144" spans="2:7" ht="15.6" x14ac:dyDescent="0.3">
      <c r="B144" s="8">
        <v>139</v>
      </c>
      <c r="C144" s="5"/>
      <c r="D144" s="10"/>
      <c r="F144" s="8">
        <v>139</v>
      </c>
      <c r="G144" s="5"/>
    </row>
    <row r="145" spans="2:7" ht="15.6" x14ac:dyDescent="0.3">
      <c r="B145" s="8">
        <v>140</v>
      </c>
      <c r="C145" s="5"/>
      <c r="D145" s="10"/>
      <c r="F145" s="8">
        <v>140</v>
      </c>
      <c r="G145" s="5"/>
    </row>
    <row r="146" spans="2:7" ht="15.6" x14ac:dyDescent="0.3">
      <c r="B146" s="8">
        <v>141</v>
      </c>
      <c r="C146" s="5"/>
      <c r="D146" s="10"/>
      <c r="F146" s="8">
        <v>141</v>
      </c>
      <c r="G146" s="5"/>
    </row>
    <row r="147" spans="2:7" ht="15.6" x14ac:dyDescent="0.3">
      <c r="B147" s="8">
        <v>142</v>
      </c>
      <c r="C147" s="5"/>
      <c r="D147" s="10"/>
      <c r="F147" s="8">
        <v>142</v>
      </c>
      <c r="G147" s="5"/>
    </row>
    <row r="148" spans="2:7" ht="15.6" x14ac:dyDescent="0.3">
      <c r="B148" s="8">
        <v>143</v>
      </c>
      <c r="C148" s="5"/>
      <c r="D148" s="10"/>
      <c r="F148" s="8">
        <v>143</v>
      </c>
      <c r="G148" s="5"/>
    </row>
    <row r="149" spans="2:7" ht="15.6" x14ac:dyDescent="0.3">
      <c r="B149" s="8">
        <v>144</v>
      </c>
      <c r="C149" s="5"/>
      <c r="D149" s="10"/>
      <c r="F149" s="8">
        <v>144</v>
      </c>
      <c r="G149" s="5"/>
    </row>
    <row r="150" spans="2:7" ht="15.6" x14ac:dyDescent="0.3">
      <c r="B150" s="8">
        <v>145</v>
      </c>
      <c r="C150" s="5"/>
      <c r="D150" s="10"/>
      <c r="F150" s="8">
        <v>145</v>
      </c>
      <c r="G150" s="5"/>
    </row>
    <row r="151" spans="2:7" ht="15.6" x14ac:dyDescent="0.3">
      <c r="B151" s="8">
        <v>146</v>
      </c>
      <c r="C151" s="5"/>
      <c r="D151" s="10"/>
      <c r="F151" s="8">
        <v>146</v>
      </c>
      <c r="G151" s="5"/>
    </row>
    <row r="152" spans="2:7" ht="15.6" x14ac:dyDescent="0.3">
      <c r="B152" s="8">
        <v>147</v>
      </c>
      <c r="C152" s="5">
        <v>50</v>
      </c>
      <c r="D152" s="10">
        <v>50</v>
      </c>
      <c r="F152" s="8">
        <v>147</v>
      </c>
      <c r="G152" s="5"/>
    </row>
    <row r="153" spans="2:7" ht="15.6" x14ac:dyDescent="0.3">
      <c r="B153" s="8">
        <v>148</v>
      </c>
      <c r="C153" s="5"/>
      <c r="D153" s="10"/>
      <c r="F153" s="8">
        <v>148</v>
      </c>
      <c r="G153" s="5"/>
    </row>
    <row r="154" spans="2:7" ht="15.6" x14ac:dyDescent="0.3">
      <c r="B154" s="8">
        <v>149</v>
      </c>
      <c r="C154" s="5"/>
      <c r="D154" s="10"/>
      <c r="F154" s="8">
        <v>149</v>
      </c>
      <c r="G154" s="5"/>
    </row>
    <row r="155" spans="2:7" ht="15.6" x14ac:dyDescent="0.3">
      <c r="B155" s="8">
        <v>150</v>
      </c>
      <c r="C155" s="5"/>
      <c r="D155" s="10"/>
      <c r="F155" s="8">
        <v>150</v>
      </c>
      <c r="G155" s="5"/>
    </row>
    <row r="156" spans="2:7" ht="15.6" x14ac:dyDescent="0.3">
      <c r="B156" s="8">
        <v>151</v>
      </c>
      <c r="C156" s="5"/>
      <c r="D156" s="10"/>
      <c r="F156" s="8">
        <v>151</v>
      </c>
      <c r="G156" s="5"/>
    </row>
    <row r="157" spans="2:7" ht="15.6" x14ac:dyDescent="0.3">
      <c r="B157" s="8">
        <v>152</v>
      </c>
      <c r="C157" s="5"/>
      <c r="D157" s="10"/>
      <c r="F157" s="8">
        <v>152</v>
      </c>
      <c r="G157" s="5"/>
    </row>
    <row r="158" spans="2:7" ht="15.6" x14ac:dyDescent="0.3">
      <c r="B158" s="8">
        <v>153</v>
      </c>
      <c r="C158" s="5"/>
      <c r="D158" s="10"/>
      <c r="F158" s="8">
        <v>153</v>
      </c>
      <c r="G158" s="5"/>
    </row>
    <row r="159" spans="2:7" ht="15.6" x14ac:dyDescent="0.3">
      <c r="B159" s="8">
        <v>154</v>
      </c>
      <c r="C159" s="5"/>
      <c r="D159" s="10"/>
      <c r="F159" s="8">
        <v>154</v>
      </c>
      <c r="G159" s="5"/>
    </row>
    <row r="160" spans="2:7" ht="15.6" x14ac:dyDescent="0.3">
      <c r="B160" s="8">
        <v>155</v>
      </c>
      <c r="C160" s="5"/>
      <c r="D160" s="10"/>
      <c r="F160" s="8">
        <v>155</v>
      </c>
      <c r="G160" s="5"/>
    </row>
    <row r="161" spans="2:7" ht="15.6" x14ac:dyDescent="0.3">
      <c r="B161" s="8">
        <v>156</v>
      </c>
      <c r="C161" s="5"/>
      <c r="D161" s="10"/>
      <c r="F161" s="8">
        <v>156</v>
      </c>
      <c r="G161" s="5"/>
    </row>
    <row r="162" spans="2:7" ht="15.6" x14ac:dyDescent="0.3">
      <c r="B162" s="8">
        <v>157</v>
      </c>
      <c r="C162" s="5"/>
      <c r="D162" s="10"/>
      <c r="F162" s="8">
        <v>157</v>
      </c>
      <c r="G162" s="5"/>
    </row>
    <row r="163" spans="2:7" ht="15.6" x14ac:dyDescent="0.3">
      <c r="B163" s="8">
        <v>158</v>
      </c>
      <c r="C163" s="5">
        <v>50</v>
      </c>
      <c r="D163" s="10">
        <v>50</v>
      </c>
      <c r="F163" s="8">
        <v>158</v>
      </c>
      <c r="G163" s="5"/>
    </row>
    <row r="164" spans="2:7" ht="15.6" x14ac:dyDescent="0.3">
      <c r="B164" s="8">
        <v>159</v>
      </c>
      <c r="C164" s="5"/>
      <c r="D164" s="10"/>
      <c r="F164" s="8">
        <v>159</v>
      </c>
      <c r="G164" s="5"/>
    </row>
    <row r="165" spans="2:7" ht="15.6" x14ac:dyDescent="0.3">
      <c r="B165" s="8">
        <v>160</v>
      </c>
      <c r="C165" s="5"/>
      <c r="D165" s="10"/>
      <c r="F165" s="8">
        <v>160</v>
      </c>
      <c r="G165" s="5"/>
    </row>
    <row r="166" spans="2:7" ht="15.6" x14ac:dyDescent="0.3">
      <c r="B166" s="8">
        <v>161</v>
      </c>
      <c r="C166" s="5"/>
      <c r="D166" s="10"/>
      <c r="F166" s="8">
        <v>161</v>
      </c>
      <c r="G166" s="5"/>
    </row>
    <row r="167" spans="2:7" ht="15.6" x14ac:dyDescent="0.3">
      <c r="B167" s="8">
        <v>162</v>
      </c>
      <c r="C167" s="5"/>
      <c r="D167" s="10"/>
      <c r="F167" s="8">
        <v>162</v>
      </c>
      <c r="G167" s="5"/>
    </row>
    <row r="168" spans="2:7" ht="15.6" x14ac:dyDescent="0.3">
      <c r="B168" s="8">
        <v>163</v>
      </c>
      <c r="C168" s="5"/>
      <c r="D168" s="10"/>
      <c r="F168" s="8">
        <v>163</v>
      </c>
      <c r="G168" s="5"/>
    </row>
    <row r="169" spans="2:7" ht="15.6" x14ac:dyDescent="0.3">
      <c r="B169" s="8">
        <v>164</v>
      </c>
      <c r="C169" s="5"/>
      <c r="D169" s="10"/>
      <c r="F169" s="8">
        <v>164</v>
      </c>
      <c r="G169" s="5"/>
    </row>
    <row r="170" spans="2:7" ht="15.6" x14ac:dyDescent="0.3">
      <c r="B170" s="8">
        <v>165</v>
      </c>
      <c r="C170" s="5"/>
      <c r="D170" s="10"/>
      <c r="F170" s="8">
        <v>165</v>
      </c>
      <c r="G170" s="5"/>
    </row>
    <row r="171" spans="2:7" ht="15.6" x14ac:dyDescent="0.3">
      <c r="B171" s="8">
        <v>166</v>
      </c>
      <c r="C171" s="5"/>
      <c r="D171" s="10"/>
      <c r="F171" s="8">
        <v>166</v>
      </c>
      <c r="G171" s="5"/>
    </row>
    <row r="172" spans="2:7" ht="15.6" x14ac:dyDescent="0.3">
      <c r="B172" s="8">
        <v>167</v>
      </c>
      <c r="C172" s="5"/>
      <c r="D172" s="10"/>
      <c r="F172" s="8">
        <v>167</v>
      </c>
      <c r="G172" s="5"/>
    </row>
    <row r="173" spans="2:7" ht="15.6" x14ac:dyDescent="0.3">
      <c r="B173" s="8">
        <v>168</v>
      </c>
      <c r="C173" s="5"/>
      <c r="D173" s="10"/>
      <c r="F173" s="8">
        <v>168</v>
      </c>
      <c r="G173" s="5"/>
    </row>
    <row r="174" spans="2:7" ht="15.6" x14ac:dyDescent="0.3">
      <c r="B174" s="8">
        <v>169</v>
      </c>
      <c r="C174" s="5"/>
      <c r="D174" s="10"/>
      <c r="F174" s="8">
        <v>169</v>
      </c>
      <c r="G174" s="5"/>
    </row>
    <row r="175" spans="2:7" ht="15.6" x14ac:dyDescent="0.3">
      <c r="B175" s="8">
        <v>170</v>
      </c>
      <c r="C175" s="5"/>
      <c r="D175" s="10"/>
      <c r="F175" s="8">
        <v>170</v>
      </c>
      <c r="G175" s="5"/>
    </row>
    <row r="176" spans="2:7" ht="15.6" x14ac:dyDescent="0.3">
      <c r="B176" s="8">
        <v>171</v>
      </c>
      <c r="C176" s="5"/>
      <c r="D176" s="10"/>
      <c r="F176" s="8">
        <v>171</v>
      </c>
      <c r="G176" s="5"/>
    </row>
    <row r="177" spans="2:7" ht="15.6" x14ac:dyDescent="0.3">
      <c r="B177" s="8">
        <v>172</v>
      </c>
      <c r="C177" s="5"/>
      <c r="D177" s="10"/>
      <c r="F177" s="8">
        <v>172</v>
      </c>
      <c r="G177" s="5"/>
    </row>
    <row r="178" spans="2:7" ht="15.6" x14ac:dyDescent="0.3">
      <c r="B178" s="8">
        <v>173</v>
      </c>
      <c r="C178" s="5"/>
      <c r="D178" s="10"/>
      <c r="F178" s="8">
        <v>173</v>
      </c>
      <c r="G178" s="5"/>
    </row>
    <row r="179" spans="2:7" ht="15.6" x14ac:dyDescent="0.3">
      <c r="B179" s="8">
        <v>174</v>
      </c>
      <c r="C179" s="5"/>
      <c r="D179" s="10"/>
      <c r="F179" s="8">
        <v>174</v>
      </c>
      <c r="G179" s="5"/>
    </row>
    <row r="180" spans="2:7" ht="15.6" x14ac:dyDescent="0.3">
      <c r="B180" s="8">
        <v>175</v>
      </c>
      <c r="C180" s="5">
        <v>300</v>
      </c>
      <c r="D180" s="10">
        <v>300</v>
      </c>
      <c r="F180" s="8">
        <v>175</v>
      </c>
      <c r="G180" s="5"/>
    </row>
    <row r="181" spans="2:7" ht="15.6" x14ac:dyDescent="0.3">
      <c r="B181" s="8">
        <v>176</v>
      </c>
      <c r="C181" s="5"/>
      <c r="D181" s="10"/>
      <c r="F181" s="8">
        <v>176</v>
      </c>
      <c r="G181" s="5"/>
    </row>
    <row r="182" spans="2:7" ht="15.6" x14ac:dyDescent="0.3">
      <c r="B182" s="8">
        <v>177</v>
      </c>
      <c r="C182" s="5">
        <v>300</v>
      </c>
      <c r="D182" s="10">
        <v>300</v>
      </c>
      <c r="F182" s="8">
        <v>177</v>
      </c>
      <c r="G182" s="5"/>
    </row>
    <row r="183" spans="2:7" ht="15.6" x14ac:dyDescent="0.3">
      <c r="B183" s="8">
        <v>178</v>
      </c>
      <c r="C183" s="5">
        <v>50</v>
      </c>
      <c r="D183" s="10">
        <v>50</v>
      </c>
      <c r="F183" s="8">
        <v>178</v>
      </c>
      <c r="G183" s="5"/>
    </row>
    <row r="184" spans="2:7" ht="15.6" x14ac:dyDescent="0.3">
      <c r="B184" s="8">
        <v>179</v>
      </c>
      <c r="C184" s="5"/>
      <c r="D184" s="10"/>
      <c r="F184" s="8">
        <v>179</v>
      </c>
      <c r="G184" s="5"/>
    </row>
    <row r="185" spans="2:7" ht="15.6" x14ac:dyDescent="0.3">
      <c r="B185" s="8">
        <v>180</v>
      </c>
      <c r="C185" s="5"/>
      <c r="D185" s="10"/>
      <c r="F185" s="8">
        <v>180</v>
      </c>
      <c r="G185" s="5"/>
    </row>
    <row r="186" spans="2:7" ht="15.6" x14ac:dyDescent="0.3">
      <c r="B186" s="8">
        <v>181</v>
      </c>
      <c r="C186" s="5"/>
      <c r="D186" s="10"/>
      <c r="F186" s="8">
        <v>181</v>
      </c>
      <c r="G186" s="5">
        <v>50</v>
      </c>
    </row>
    <row r="187" spans="2:7" ht="15.6" x14ac:dyDescent="0.3">
      <c r="B187" s="8">
        <v>182</v>
      </c>
      <c r="C187" s="5"/>
      <c r="D187" s="10"/>
      <c r="F187" s="8">
        <v>182</v>
      </c>
      <c r="G187" s="5"/>
    </row>
    <row r="188" spans="2:7" ht="15.6" x14ac:dyDescent="0.3">
      <c r="B188" s="8">
        <v>183</v>
      </c>
      <c r="C188" s="5"/>
      <c r="D188" s="10"/>
      <c r="F188" s="8">
        <v>183</v>
      </c>
      <c r="G188" s="5"/>
    </row>
    <row r="189" spans="2:7" ht="15.6" x14ac:dyDescent="0.3">
      <c r="B189" s="8">
        <v>184</v>
      </c>
      <c r="C189" s="5"/>
      <c r="D189" s="10"/>
      <c r="F189" s="8">
        <v>184</v>
      </c>
      <c r="G189" s="5"/>
    </row>
    <row r="190" spans="2:7" ht="15.6" x14ac:dyDescent="0.3">
      <c r="B190" s="8">
        <v>185</v>
      </c>
      <c r="C190" s="5">
        <v>50</v>
      </c>
      <c r="D190" s="10">
        <v>50</v>
      </c>
      <c r="F190" s="8">
        <v>185</v>
      </c>
      <c r="G190" s="5"/>
    </row>
    <row r="191" spans="2:7" ht="15.6" x14ac:dyDescent="0.3">
      <c r="B191" s="8">
        <v>186</v>
      </c>
      <c r="C191" s="5"/>
      <c r="D191" s="10"/>
      <c r="F191" s="8">
        <v>186</v>
      </c>
      <c r="G191" s="5"/>
    </row>
    <row r="192" spans="2:7" ht="15.6" x14ac:dyDescent="0.3">
      <c r="B192" s="8">
        <v>187</v>
      </c>
      <c r="C192" s="5"/>
      <c r="D192" s="10"/>
      <c r="F192" s="8">
        <v>187</v>
      </c>
      <c r="G192" s="5"/>
    </row>
    <row r="193" spans="2:7" ht="15.6" x14ac:dyDescent="0.3">
      <c r="B193" s="8">
        <v>188</v>
      </c>
      <c r="C193" s="5"/>
      <c r="D193" s="10"/>
      <c r="F193" s="8">
        <v>188</v>
      </c>
      <c r="G193" s="5"/>
    </row>
    <row r="194" spans="2:7" ht="15.6" x14ac:dyDescent="0.3">
      <c r="B194" s="8">
        <v>189</v>
      </c>
      <c r="C194" s="5"/>
      <c r="D194" s="10"/>
      <c r="F194" s="8">
        <v>189</v>
      </c>
      <c r="G194" s="5"/>
    </row>
    <row r="195" spans="2:7" ht="15.6" x14ac:dyDescent="0.3">
      <c r="B195" s="8">
        <v>190</v>
      </c>
      <c r="C195" s="5"/>
      <c r="D195" s="10"/>
      <c r="F195" s="8">
        <v>190</v>
      </c>
      <c r="G195" s="5"/>
    </row>
    <row r="196" spans="2:7" ht="15.6" x14ac:dyDescent="0.3">
      <c r="B196" s="8">
        <v>191</v>
      </c>
      <c r="C196" s="5"/>
      <c r="D196" s="10"/>
      <c r="F196" s="8">
        <v>191</v>
      </c>
      <c r="G196" s="5"/>
    </row>
    <row r="197" spans="2:7" ht="15.6" x14ac:dyDescent="0.3">
      <c r="B197" s="8">
        <v>192</v>
      </c>
      <c r="C197" s="5"/>
      <c r="D197" s="10"/>
      <c r="F197" s="8">
        <v>192</v>
      </c>
      <c r="G197" s="5"/>
    </row>
    <row r="198" spans="2:7" ht="15.6" x14ac:dyDescent="0.3">
      <c r="B198" s="8">
        <v>193</v>
      </c>
      <c r="C198" s="5"/>
      <c r="D198" s="10"/>
      <c r="F198" s="8">
        <v>193</v>
      </c>
      <c r="G198" s="5"/>
    </row>
    <row r="199" spans="2:7" ht="15.6" x14ac:dyDescent="0.3">
      <c r="B199" s="8">
        <v>194</v>
      </c>
      <c r="C199" s="5"/>
      <c r="D199" s="10"/>
      <c r="F199" s="8">
        <v>194</v>
      </c>
      <c r="G199" s="5"/>
    </row>
    <row r="200" spans="2:7" ht="15.6" x14ac:dyDescent="0.3">
      <c r="B200" s="8">
        <v>195</v>
      </c>
      <c r="C200" s="5"/>
      <c r="D200" s="10"/>
      <c r="F200" s="8">
        <v>195</v>
      </c>
      <c r="G200" s="5"/>
    </row>
    <row r="201" spans="2:7" ht="15.6" x14ac:dyDescent="0.3">
      <c r="B201" s="8">
        <v>196</v>
      </c>
      <c r="C201" s="5"/>
      <c r="D201" s="10"/>
      <c r="F201" s="8">
        <v>196</v>
      </c>
      <c r="G201" s="5"/>
    </row>
    <row r="202" spans="2:7" ht="15.6" x14ac:dyDescent="0.3">
      <c r="B202" s="8">
        <v>197</v>
      </c>
      <c r="C202" s="5"/>
      <c r="D202" s="10"/>
      <c r="F202" s="8">
        <v>197</v>
      </c>
      <c r="G202" s="5"/>
    </row>
    <row r="203" spans="2:7" ht="15.6" x14ac:dyDescent="0.3">
      <c r="B203" s="8">
        <v>198</v>
      </c>
      <c r="C203" s="5"/>
      <c r="D203" s="10"/>
      <c r="F203" s="8">
        <v>198</v>
      </c>
      <c r="G203" s="5"/>
    </row>
    <row r="204" spans="2:7" ht="15.6" x14ac:dyDescent="0.3">
      <c r="B204" s="8">
        <v>199</v>
      </c>
      <c r="C204" s="5"/>
      <c r="D204" s="10"/>
      <c r="F204" s="8">
        <v>199</v>
      </c>
      <c r="G204" s="5"/>
    </row>
    <row r="205" spans="2:7" ht="15.6" x14ac:dyDescent="0.3">
      <c r="B205" s="8">
        <v>200</v>
      </c>
      <c r="C205" s="5"/>
      <c r="D205" s="10"/>
      <c r="F205" s="8">
        <v>200</v>
      </c>
      <c r="G205" s="5"/>
    </row>
    <row r="206" spans="2:7" ht="15.6" x14ac:dyDescent="0.3">
      <c r="B206" s="8">
        <v>201</v>
      </c>
      <c r="C206" s="5"/>
      <c r="D206" s="10"/>
      <c r="F206" s="8">
        <v>201</v>
      </c>
      <c r="G206" s="5"/>
    </row>
    <row r="207" spans="2:7" ht="15.6" x14ac:dyDescent="0.3">
      <c r="B207" s="8">
        <v>202</v>
      </c>
      <c r="C207" s="5"/>
      <c r="D207" s="10"/>
      <c r="F207" s="8">
        <v>202</v>
      </c>
      <c r="G207" s="5"/>
    </row>
    <row r="208" spans="2:7" ht="15.6" x14ac:dyDescent="0.3">
      <c r="B208" s="8">
        <v>203</v>
      </c>
      <c r="C208" s="5">
        <v>50</v>
      </c>
      <c r="D208" s="10">
        <v>50</v>
      </c>
      <c r="F208" s="8">
        <v>203</v>
      </c>
      <c r="G208" s="5"/>
    </row>
    <row r="209" spans="2:7" ht="15.6" x14ac:dyDescent="0.3">
      <c r="B209" s="8">
        <v>204</v>
      </c>
      <c r="C209" s="5"/>
      <c r="D209" s="10"/>
      <c r="F209" s="8">
        <v>204</v>
      </c>
      <c r="G209" s="5"/>
    </row>
    <row r="210" spans="2:7" ht="15.6" x14ac:dyDescent="0.3">
      <c r="B210" s="8">
        <v>205</v>
      </c>
      <c r="C210" s="5">
        <v>20</v>
      </c>
      <c r="D210" s="10">
        <v>20</v>
      </c>
      <c r="F210" s="8">
        <v>205</v>
      </c>
      <c r="G210" s="5"/>
    </row>
    <row r="211" spans="2:7" ht="15.6" x14ac:dyDescent="0.3">
      <c r="B211" s="8">
        <v>206</v>
      </c>
      <c r="C211" s="5"/>
      <c r="D211" s="10"/>
      <c r="F211" s="8">
        <v>206</v>
      </c>
      <c r="G211" s="5"/>
    </row>
    <row r="212" spans="2:7" ht="15.6" x14ac:dyDescent="0.3">
      <c r="B212" s="8">
        <v>207</v>
      </c>
      <c r="C212" s="5"/>
      <c r="D212" s="10"/>
      <c r="F212" s="8">
        <v>207</v>
      </c>
      <c r="G212" s="5"/>
    </row>
    <row r="213" spans="2:7" ht="15.6" x14ac:dyDescent="0.3">
      <c r="B213" s="8">
        <v>208</v>
      </c>
      <c r="C213" s="5"/>
      <c r="D213" s="10"/>
      <c r="F213" s="8">
        <v>208</v>
      </c>
      <c r="G213" s="5"/>
    </row>
    <row r="214" spans="2:7" ht="15.6" x14ac:dyDescent="0.3">
      <c r="B214" s="8">
        <v>209</v>
      </c>
      <c r="C214" s="5"/>
      <c r="D214" s="10"/>
      <c r="F214" s="8">
        <v>209</v>
      </c>
      <c r="G214" s="5"/>
    </row>
    <row r="215" spans="2:7" ht="15.6" x14ac:dyDescent="0.3">
      <c r="B215" s="8">
        <v>210</v>
      </c>
      <c r="C215" s="5"/>
      <c r="D215" s="10"/>
      <c r="F215" s="8">
        <v>210</v>
      </c>
      <c r="G215" s="5"/>
    </row>
    <row r="216" spans="2:7" ht="15.6" x14ac:dyDescent="0.3">
      <c r="B216" s="8">
        <v>211</v>
      </c>
      <c r="C216" s="5"/>
      <c r="D216" s="10"/>
      <c r="F216" s="8">
        <v>211</v>
      </c>
      <c r="G216" s="5"/>
    </row>
    <row r="217" spans="2:7" ht="15.6" x14ac:dyDescent="0.3">
      <c r="B217" s="8">
        <v>212</v>
      </c>
      <c r="C217" s="5"/>
      <c r="D217" s="10"/>
      <c r="F217" s="8">
        <v>212</v>
      </c>
      <c r="G217" s="5"/>
    </row>
    <row r="218" spans="2:7" ht="15.6" x14ac:dyDescent="0.3">
      <c r="B218" s="8">
        <v>213</v>
      </c>
      <c r="C218" s="5"/>
      <c r="D218" s="10"/>
      <c r="F218" s="8">
        <v>213</v>
      </c>
      <c r="G218" s="5"/>
    </row>
    <row r="219" spans="2:7" ht="15.6" x14ac:dyDescent="0.3">
      <c r="B219" s="8">
        <v>214</v>
      </c>
      <c r="C219" s="5"/>
      <c r="D219" s="10"/>
      <c r="F219" s="8">
        <v>214</v>
      </c>
      <c r="G219" s="5"/>
    </row>
    <row r="220" spans="2:7" ht="15.6" x14ac:dyDescent="0.3">
      <c r="B220" s="8">
        <v>215</v>
      </c>
      <c r="C220" s="5"/>
      <c r="D220" s="10"/>
      <c r="F220" s="8">
        <v>215</v>
      </c>
      <c r="G220" s="5"/>
    </row>
    <row r="221" spans="2:7" ht="15.6" x14ac:dyDescent="0.3">
      <c r="B221" s="8">
        <v>216</v>
      </c>
      <c r="C221" s="5"/>
      <c r="D221" s="10"/>
      <c r="F221" s="8">
        <v>216</v>
      </c>
      <c r="G221" s="5"/>
    </row>
    <row r="222" spans="2:7" ht="15.6" x14ac:dyDescent="0.3">
      <c r="B222" s="8">
        <v>217</v>
      </c>
      <c r="C222" s="5"/>
      <c r="D222" s="10"/>
      <c r="F222" s="8">
        <v>217</v>
      </c>
      <c r="G222" s="5"/>
    </row>
    <row r="223" spans="2:7" ht="15.6" x14ac:dyDescent="0.3">
      <c r="B223" s="8">
        <v>218</v>
      </c>
      <c r="C223" s="5"/>
      <c r="D223" s="10"/>
      <c r="F223" s="8">
        <v>218</v>
      </c>
      <c r="G223" s="5"/>
    </row>
    <row r="224" spans="2:7" ht="15.6" x14ac:dyDescent="0.3">
      <c r="B224" s="8">
        <v>219</v>
      </c>
      <c r="C224" s="5">
        <v>50</v>
      </c>
      <c r="D224" s="10">
        <v>50</v>
      </c>
      <c r="F224" s="8">
        <v>219</v>
      </c>
      <c r="G224" s="5"/>
    </row>
    <row r="225" spans="2:7" ht="15.6" x14ac:dyDescent="0.3">
      <c r="B225" s="8">
        <v>220</v>
      </c>
      <c r="C225" s="5"/>
      <c r="D225" s="10"/>
      <c r="F225" s="8">
        <v>220</v>
      </c>
      <c r="G225" s="5"/>
    </row>
    <row r="226" spans="2:7" ht="15.6" x14ac:dyDescent="0.3">
      <c r="B226" s="8">
        <v>221</v>
      </c>
      <c r="C226" s="5"/>
      <c r="D226" s="10"/>
      <c r="F226" s="8">
        <v>221</v>
      </c>
      <c r="G226" s="5"/>
    </row>
    <row r="227" spans="2:7" ht="15.6" x14ac:dyDescent="0.3">
      <c r="B227" s="8">
        <v>222</v>
      </c>
      <c r="C227" s="5"/>
      <c r="D227" s="10"/>
      <c r="F227" s="8">
        <v>222</v>
      </c>
      <c r="G227" s="5"/>
    </row>
    <row r="228" spans="2:7" ht="15.6" x14ac:dyDescent="0.3">
      <c r="B228" s="8">
        <v>223</v>
      </c>
      <c r="C228" s="5"/>
      <c r="D228" s="10"/>
      <c r="F228" s="8">
        <v>223</v>
      </c>
      <c r="G228" s="5"/>
    </row>
    <row r="229" spans="2:7" ht="15.6" x14ac:dyDescent="0.3">
      <c r="B229" s="8">
        <v>224</v>
      </c>
      <c r="C229" s="5"/>
      <c r="D229" s="10"/>
      <c r="F229" s="8">
        <v>224</v>
      </c>
      <c r="G229" s="5"/>
    </row>
    <row r="230" spans="2:7" ht="15.6" x14ac:dyDescent="0.3">
      <c r="B230" s="8">
        <v>225</v>
      </c>
      <c r="C230" s="5"/>
      <c r="D230" s="10"/>
      <c r="F230" s="8">
        <v>225</v>
      </c>
      <c r="G230" s="5"/>
    </row>
    <row r="231" spans="2:7" ht="15.6" x14ac:dyDescent="0.3">
      <c r="B231" s="8">
        <v>226</v>
      </c>
      <c r="C231" s="5"/>
      <c r="D231" s="10"/>
      <c r="F231" s="8">
        <v>226</v>
      </c>
      <c r="G231" s="5"/>
    </row>
    <row r="232" spans="2:7" ht="15.6" x14ac:dyDescent="0.3">
      <c r="B232" s="8">
        <v>227</v>
      </c>
      <c r="C232" s="5"/>
      <c r="D232" s="10"/>
      <c r="F232" s="8">
        <v>227</v>
      </c>
      <c r="G232" s="5"/>
    </row>
    <row r="233" spans="2:7" ht="15.6" x14ac:dyDescent="0.3">
      <c r="B233" s="8">
        <v>228</v>
      </c>
      <c r="C233" s="5"/>
      <c r="D233" s="10"/>
      <c r="F233" s="8">
        <v>228</v>
      </c>
      <c r="G233" s="5"/>
    </row>
    <row r="234" spans="2:7" ht="15.6" x14ac:dyDescent="0.3">
      <c r="B234" s="8">
        <v>229</v>
      </c>
      <c r="C234" s="5"/>
      <c r="D234" s="10"/>
      <c r="F234" s="8">
        <v>229</v>
      </c>
      <c r="G234" s="5"/>
    </row>
    <row r="235" spans="2:7" ht="15.6" x14ac:dyDescent="0.3">
      <c r="B235" s="8">
        <v>230</v>
      </c>
      <c r="C235" s="5"/>
      <c r="D235" s="10"/>
      <c r="F235" s="8">
        <v>230</v>
      </c>
      <c r="G235" s="5"/>
    </row>
    <row r="236" spans="2:7" ht="15.6" x14ac:dyDescent="0.3">
      <c r="B236" s="8">
        <v>231</v>
      </c>
      <c r="C236" s="5">
        <v>20</v>
      </c>
      <c r="D236" s="10">
        <v>20</v>
      </c>
      <c r="F236" s="8">
        <v>231</v>
      </c>
      <c r="G236" s="5"/>
    </row>
    <row r="237" spans="2:7" ht="15.6" x14ac:dyDescent="0.3">
      <c r="B237" s="8">
        <v>232</v>
      </c>
      <c r="C237" s="5"/>
      <c r="D237" s="10"/>
      <c r="F237" s="8">
        <v>232</v>
      </c>
      <c r="G237" s="5"/>
    </row>
    <row r="238" spans="2:7" ht="15.6" x14ac:dyDescent="0.3">
      <c r="B238" s="8">
        <v>233</v>
      </c>
      <c r="C238" s="5"/>
      <c r="D238" s="10"/>
      <c r="F238" s="8">
        <v>233</v>
      </c>
      <c r="G238" s="5"/>
    </row>
    <row r="239" spans="2:7" ht="15.6" x14ac:dyDescent="0.3">
      <c r="B239" s="8">
        <v>234</v>
      </c>
      <c r="C239" s="5"/>
      <c r="D239" s="10"/>
      <c r="F239" s="8">
        <v>234</v>
      </c>
      <c r="G239" s="5"/>
    </row>
    <row r="240" spans="2:7" ht="15.6" x14ac:dyDescent="0.3">
      <c r="B240" s="8">
        <v>235</v>
      </c>
      <c r="C240" s="5"/>
      <c r="D240" s="10"/>
      <c r="F240" s="8">
        <v>235</v>
      </c>
      <c r="G240" s="5"/>
    </row>
    <row r="241" spans="2:7" ht="15.6" x14ac:dyDescent="0.3">
      <c r="B241" s="8">
        <v>236</v>
      </c>
      <c r="C241" s="5"/>
      <c r="D241" s="10"/>
      <c r="F241" s="8">
        <v>236</v>
      </c>
      <c r="G241" s="5"/>
    </row>
    <row r="242" spans="2:7" ht="15.6" x14ac:dyDescent="0.3">
      <c r="B242" s="8">
        <v>237</v>
      </c>
      <c r="C242" s="5"/>
      <c r="D242" s="10"/>
      <c r="F242" s="8">
        <v>237</v>
      </c>
      <c r="G242" s="5"/>
    </row>
    <row r="243" spans="2:7" ht="15.6" x14ac:dyDescent="0.3">
      <c r="B243" s="8">
        <v>238</v>
      </c>
      <c r="C243" s="5"/>
      <c r="D243" s="10"/>
      <c r="F243" s="8">
        <v>238</v>
      </c>
      <c r="G243" s="5"/>
    </row>
    <row r="244" spans="2:7" ht="15.6" x14ac:dyDescent="0.3">
      <c r="B244" s="8">
        <v>239</v>
      </c>
      <c r="C244" s="5">
        <v>100</v>
      </c>
      <c r="D244" s="10">
        <v>100</v>
      </c>
      <c r="F244" s="8">
        <v>239</v>
      </c>
      <c r="G244" s="5"/>
    </row>
    <row r="245" spans="2:7" ht="15.6" x14ac:dyDescent="0.3">
      <c r="B245" s="8">
        <v>240</v>
      </c>
      <c r="C245" s="5"/>
      <c r="D245" s="10"/>
      <c r="F245" s="8">
        <v>240</v>
      </c>
      <c r="G245" s="5"/>
    </row>
    <row r="246" spans="2:7" ht="15.6" x14ac:dyDescent="0.3">
      <c r="B246" s="8">
        <v>241</v>
      </c>
      <c r="C246" s="5"/>
      <c r="D246" s="10"/>
      <c r="F246" s="8">
        <v>241</v>
      </c>
      <c r="G246" s="5"/>
    </row>
    <row r="247" spans="2:7" ht="15.6" x14ac:dyDescent="0.3">
      <c r="B247" s="8">
        <v>242</v>
      </c>
      <c r="C247" s="5"/>
      <c r="D247" s="10"/>
      <c r="F247" s="8">
        <v>242</v>
      </c>
      <c r="G247" s="5"/>
    </row>
    <row r="248" spans="2:7" ht="15.6" x14ac:dyDescent="0.3">
      <c r="B248" s="8">
        <v>243</v>
      </c>
      <c r="C248" s="5"/>
      <c r="D248" s="10"/>
      <c r="F248" s="8">
        <v>243</v>
      </c>
      <c r="G248" s="5"/>
    </row>
    <row r="249" spans="2:7" ht="15.6" x14ac:dyDescent="0.3">
      <c r="B249" s="8">
        <v>244</v>
      </c>
      <c r="C249" s="5"/>
      <c r="D249" s="10"/>
      <c r="F249" s="8">
        <v>244</v>
      </c>
      <c r="G249" s="5"/>
    </row>
    <row r="250" spans="2:7" ht="15.6" x14ac:dyDescent="0.3">
      <c r="B250" s="8">
        <v>245</v>
      </c>
      <c r="C250" s="5">
        <v>100</v>
      </c>
      <c r="D250" s="10">
        <v>100</v>
      </c>
      <c r="F250" s="8">
        <v>245</v>
      </c>
      <c r="G250" s="5"/>
    </row>
    <row r="251" spans="2:7" ht="15.6" x14ac:dyDescent="0.3">
      <c r="B251" s="8">
        <v>246</v>
      </c>
      <c r="C251" s="5"/>
      <c r="D251" s="10"/>
      <c r="F251" s="8">
        <v>246</v>
      </c>
      <c r="G251" s="5"/>
    </row>
    <row r="252" spans="2:7" ht="15.6" x14ac:dyDescent="0.3">
      <c r="B252" s="8">
        <v>247</v>
      </c>
      <c r="C252" s="5"/>
      <c r="D252" s="10"/>
      <c r="F252" s="8">
        <v>247</v>
      </c>
      <c r="G252" s="5"/>
    </row>
    <row r="253" spans="2:7" ht="15.6" x14ac:dyDescent="0.3">
      <c r="B253" s="8">
        <v>248</v>
      </c>
      <c r="C253" s="5"/>
      <c r="D253" s="10"/>
      <c r="F253" s="8">
        <v>248</v>
      </c>
      <c r="G253" s="5"/>
    </row>
    <row r="254" spans="2:7" ht="15.6" x14ac:dyDescent="0.3">
      <c r="B254" s="8">
        <v>249</v>
      </c>
      <c r="C254" s="5"/>
      <c r="D254" s="10"/>
      <c r="F254" s="8">
        <v>249</v>
      </c>
      <c r="G254" s="5"/>
    </row>
    <row r="255" spans="2:7" ht="15.6" x14ac:dyDescent="0.3">
      <c r="B255" s="8">
        <v>250</v>
      </c>
      <c r="C255" s="5"/>
      <c r="D255" s="10"/>
      <c r="F255" s="8">
        <v>250</v>
      </c>
      <c r="G255" s="5"/>
    </row>
    <row r="256" spans="2:7" ht="15.6" x14ac:dyDescent="0.3">
      <c r="B256" s="8">
        <v>251</v>
      </c>
      <c r="C256" s="5"/>
      <c r="D256" s="10"/>
      <c r="F256" s="8">
        <v>251</v>
      </c>
      <c r="G256" s="5"/>
    </row>
    <row r="257" spans="2:7" ht="15.6" x14ac:dyDescent="0.3">
      <c r="B257" s="8">
        <v>252</v>
      </c>
      <c r="C257" s="5"/>
      <c r="D257" s="10"/>
      <c r="F257" s="8">
        <v>252</v>
      </c>
      <c r="G257" s="5"/>
    </row>
    <row r="258" spans="2:7" ht="15.6" x14ac:dyDescent="0.3">
      <c r="B258" s="8">
        <v>253</v>
      </c>
      <c r="C258" s="5"/>
      <c r="D258" s="10"/>
      <c r="F258" s="8">
        <v>253</v>
      </c>
      <c r="G258" s="5"/>
    </row>
    <row r="259" spans="2:7" ht="15.6" x14ac:dyDescent="0.3">
      <c r="B259" s="8">
        <v>254</v>
      </c>
      <c r="C259" s="5"/>
      <c r="D259" s="10"/>
      <c r="F259" s="8">
        <v>254</v>
      </c>
      <c r="G259" s="5"/>
    </row>
    <row r="260" spans="2:7" ht="15.6" x14ac:dyDescent="0.3">
      <c r="B260" s="8">
        <v>255</v>
      </c>
      <c r="C260" s="5">
        <v>100</v>
      </c>
      <c r="D260" s="10">
        <v>100</v>
      </c>
      <c r="F260" s="8">
        <v>255</v>
      </c>
      <c r="G260" s="5"/>
    </row>
    <row r="261" spans="2:7" ht="15.6" x14ac:dyDescent="0.3">
      <c r="B261" s="8">
        <v>256</v>
      </c>
      <c r="C261" s="5"/>
      <c r="D261" s="10"/>
      <c r="F261" s="8">
        <v>256</v>
      </c>
      <c r="G261" s="5"/>
    </row>
    <row r="262" spans="2:7" ht="15.6" x14ac:dyDescent="0.3">
      <c r="B262" s="8">
        <v>257</v>
      </c>
      <c r="C262" s="5">
        <v>100</v>
      </c>
      <c r="D262" s="10">
        <v>100</v>
      </c>
      <c r="F262" s="8">
        <v>257</v>
      </c>
      <c r="G262" s="5"/>
    </row>
    <row r="263" spans="2:7" ht="15.6" x14ac:dyDescent="0.3">
      <c r="B263" s="8">
        <v>258</v>
      </c>
      <c r="C263" s="5"/>
      <c r="D263" s="10"/>
      <c r="F263" s="8">
        <v>258</v>
      </c>
      <c r="G263" s="5"/>
    </row>
    <row r="264" spans="2:7" ht="15.6" x14ac:dyDescent="0.3">
      <c r="B264" s="8">
        <v>259</v>
      </c>
      <c r="C264" s="5"/>
      <c r="D264" s="10"/>
      <c r="F264" s="8">
        <v>259</v>
      </c>
      <c r="G264" s="5"/>
    </row>
    <row r="265" spans="2:7" ht="15.6" x14ac:dyDescent="0.3">
      <c r="B265" s="8">
        <v>260</v>
      </c>
      <c r="C265" s="5"/>
      <c r="D265" s="10"/>
      <c r="F265" s="8">
        <v>260</v>
      </c>
      <c r="G265" s="5"/>
    </row>
    <row r="266" spans="2:7" ht="15.6" x14ac:dyDescent="0.3">
      <c r="B266" s="8">
        <v>261</v>
      </c>
      <c r="C266" s="5"/>
      <c r="D266" s="10"/>
      <c r="F266" s="8">
        <v>261</v>
      </c>
      <c r="G266" s="5"/>
    </row>
    <row r="267" spans="2:7" ht="15.6" x14ac:dyDescent="0.3">
      <c r="B267" s="8">
        <v>262</v>
      </c>
      <c r="C267" s="5"/>
      <c r="D267" s="10"/>
      <c r="F267" s="8">
        <v>262</v>
      </c>
      <c r="G267" s="5"/>
    </row>
    <row r="268" spans="2:7" ht="15.6" x14ac:dyDescent="0.3">
      <c r="B268" s="8">
        <v>263</v>
      </c>
      <c r="C268" s="5"/>
      <c r="D268" s="10"/>
      <c r="F268" s="8">
        <v>263</v>
      </c>
      <c r="G268" s="5"/>
    </row>
    <row r="269" spans="2:7" ht="15.6" x14ac:dyDescent="0.3">
      <c r="B269" s="8">
        <v>264</v>
      </c>
      <c r="C269" s="5"/>
      <c r="D269" s="10"/>
      <c r="F269" s="8">
        <v>264</v>
      </c>
      <c r="G269" s="5"/>
    </row>
    <row r="270" spans="2:7" ht="15.6" x14ac:dyDescent="0.3">
      <c r="B270" s="8">
        <v>265</v>
      </c>
      <c r="C270" s="5"/>
      <c r="D270" s="10"/>
      <c r="F270" s="8">
        <v>265</v>
      </c>
      <c r="G270" s="5"/>
    </row>
    <row r="271" spans="2:7" ht="15.6" x14ac:dyDescent="0.3">
      <c r="B271" s="8">
        <v>266</v>
      </c>
      <c r="C271" s="5"/>
      <c r="D271" s="10"/>
      <c r="F271" s="8">
        <v>266</v>
      </c>
      <c r="G271" s="5"/>
    </row>
    <row r="272" spans="2:7" ht="15.6" x14ac:dyDescent="0.3">
      <c r="B272" s="8">
        <v>267</v>
      </c>
      <c r="C272" s="5"/>
      <c r="D272" s="10"/>
      <c r="F272" s="8">
        <v>267</v>
      </c>
      <c r="G272" s="5"/>
    </row>
    <row r="273" spans="2:7" ht="15.6" x14ac:dyDescent="0.3">
      <c r="B273" s="8">
        <v>268</v>
      </c>
      <c r="C273" s="5"/>
      <c r="D273" s="10"/>
      <c r="F273" s="8">
        <v>268</v>
      </c>
      <c r="G273" s="5"/>
    </row>
    <row r="274" spans="2:7" ht="15.6" x14ac:dyDescent="0.3">
      <c r="B274" s="8">
        <v>269</v>
      </c>
      <c r="C274" s="5"/>
      <c r="D274" s="10"/>
      <c r="F274" s="8">
        <v>269</v>
      </c>
      <c r="G274" s="5"/>
    </row>
    <row r="275" spans="2:7" ht="15.6" x14ac:dyDescent="0.3">
      <c r="B275" s="8">
        <v>270</v>
      </c>
      <c r="C275" s="5"/>
      <c r="D275" s="10"/>
      <c r="F275" s="8">
        <v>270</v>
      </c>
      <c r="G275" s="5"/>
    </row>
    <row r="276" spans="2:7" ht="15.6" x14ac:dyDescent="0.3">
      <c r="B276" s="8">
        <v>271</v>
      </c>
      <c r="C276" s="5"/>
      <c r="D276" s="10"/>
      <c r="F276" s="8">
        <v>271</v>
      </c>
      <c r="G276" s="5"/>
    </row>
    <row r="277" spans="2:7" ht="15.6" x14ac:dyDescent="0.3">
      <c r="B277" s="8">
        <v>272</v>
      </c>
      <c r="C277" s="5"/>
      <c r="D277" s="10"/>
      <c r="F277" s="8">
        <v>272</v>
      </c>
      <c r="G277" s="5"/>
    </row>
    <row r="278" spans="2:7" ht="15.6" x14ac:dyDescent="0.3">
      <c r="B278" s="8">
        <v>273</v>
      </c>
      <c r="C278" s="5">
        <v>20</v>
      </c>
      <c r="D278" s="10">
        <v>20</v>
      </c>
      <c r="F278" s="8">
        <v>273</v>
      </c>
      <c r="G278" s="5"/>
    </row>
    <row r="279" spans="2:7" ht="15.6" x14ac:dyDescent="0.3">
      <c r="B279" s="8">
        <v>274</v>
      </c>
      <c r="C279" s="5"/>
      <c r="D279" s="10"/>
      <c r="F279" s="8">
        <v>274</v>
      </c>
      <c r="G279" s="5"/>
    </row>
    <row r="280" spans="2:7" ht="15.6" x14ac:dyDescent="0.3">
      <c r="B280" s="8">
        <v>275</v>
      </c>
      <c r="C280" s="5"/>
      <c r="D280" s="10"/>
      <c r="F280" s="8">
        <v>275</v>
      </c>
      <c r="G280" s="5"/>
    </row>
    <row r="281" spans="2:7" ht="15.6" x14ac:dyDescent="0.3">
      <c r="B281" s="8">
        <v>276</v>
      </c>
      <c r="C281" s="5"/>
      <c r="D281" s="10"/>
      <c r="F281" s="8">
        <v>276</v>
      </c>
      <c r="G281" s="5"/>
    </row>
    <row r="282" spans="2:7" ht="15.6" x14ac:dyDescent="0.3">
      <c r="B282" s="8">
        <v>277</v>
      </c>
      <c r="C282" s="5"/>
      <c r="D282" s="10"/>
      <c r="F282" s="8">
        <v>277</v>
      </c>
      <c r="G282" s="5"/>
    </row>
    <row r="283" spans="2:7" ht="15.6" x14ac:dyDescent="0.3">
      <c r="B283" s="8">
        <v>278</v>
      </c>
      <c r="C283" s="5">
        <v>50</v>
      </c>
      <c r="D283" s="10">
        <v>50</v>
      </c>
      <c r="F283" s="8">
        <v>278</v>
      </c>
      <c r="G283" s="5"/>
    </row>
    <row r="284" spans="2:7" ht="15.6" x14ac:dyDescent="0.3">
      <c r="B284" s="8">
        <v>279</v>
      </c>
      <c r="C284" s="5"/>
      <c r="D284" s="10"/>
      <c r="F284" s="8">
        <v>279</v>
      </c>
      <c r="G284" s="5"/>
    </row>
    <row r="285" spans="2:7" ht="15.6" x14ac:dyDescent="0.3">
      <c r="B285" s="8">
        <v>280</v>
      </c>
      <c r="C285" s="5"/>
      <c r="D285" s="10"/>
      <c r="F285" s="8">
        <v>280</v>
      </c>
      <c r="G285" s="5"/>
    </row>
    <row r="286" spans="2:7" ht="15.6" x14ac:dyDescent="0.3">
      <c r="B286" s="8">
        <v>281</v>
      </c>
      <c r="C286" s="5"/>
      <c r="D286" s="10"/>
      <c r="F286" s="8">
        <v>281</v>
      </c>
      <c r="G286" s="5"/>
    </row>
    <row r="287" spans="2:7" ht="15.6" x14ac:dyDescent="0.3">
      <c r="B287" s="8">
        <v>282</v>
      </c>
      <c r="C287" s="5"/>
      <c r="D287" s="10"/>
      <c r="F287" s="8">
        <v>282</v>
      </c>
      <c r="G287" s="5"/>
    </row>
    <row r="288" spans="2:7" ht="15.6" x14ac:dyDescent="0.3">
      <c r="B288" s="8">
        <v>283</v>
      </c>
      <c r="C288" s="5"/>
      <c r="D288" s="10"/>
      <c r="F288" s="8">
        <v>283</v>
      </c>
      <c r="G288" s="5"/>
    </row>
    <row r="289" spans="2:7" ht="15.6" x14ac:dyDescent="0.3">
      <c r="B289" s="8">
        <v>284</v>
      </c>
      <c r="C289" s="5"/>
      <c r="D289" s="10"/>
      <c r="F289" s="8">
        <v>284</v>
      </c>
      <c r="G289" s="5"/>
    </row>
    <row r="290" spans="2:7" ht="15.6" x14ac:dyDescent="0.3">
      <c r="B290" s="8">
        <v>285</v>
      </c>
      <c r="C290" s="5"/>
      <c r="D290" s="10"/>
      <c r="F290" s="8">
        <v>285</v>
      </c>
      <c r="G290" s="5"/>
    </row>
    <row r="291" spans="2:7" ht="15.6" x14ac:dyDescent="0.3">
      <c r="B291" s="8">
        <v>286</v>
      </c>
      <c r="C291" s="5">
        <v>100</v>
      </c>
      <c r="D291" s="10">
        <v>100</v>
      </c>
      <c r="F291" s="8">
        <v>286</v>
      </c>
      <c r="G291" s="5"/>
    </row>
    <row r="292" spans="2:7" ht="15.6" x14ac:dyDescent="0.3">
      <c r="B292" s="8">
        <v>287</v>
      </c>
      <c r="C292" s="5"/>
      <c r="D292" s="10"/>
      <c r="F292" s="8">
        <v>287</v>
      </c>
      <c r="G292" s="5"/>
    </row>
    <row r="293" spans="2:7" ht="15.6" x14ac:dyDescent="0.3">
      <c r="B293" s="8">
        <v>288</v>
      </c>
      <c r="C293" s="5"/>
      <c r="D293" s="10"/>
      <c r="F293" s="8">
        <v>288</v>
      </c>
      <c r="G293" s="5"/>
    </row>
    <row r="294" spans="2:7" ht="15.6" x14ac:dyDescent="0.3">
      <c r="B294" s="8">
        <v>289</v>
      </c>
      <c r="C294" s="5">
        <v>20</v>
      </c>
      <c r="D294" s="10"/>
      <c r="F294" s="8">
        <v>289</v>
      </c>
      <c r="G294" s="5">
        <v>20</v>
      </c>
    </row>
    <row r="295" spans="2:7" ht="15.6" x14ac:dyDescent="0.3">
      <c r="B295" s="8">
        <v>290</v>
      </c>
      <c r="C295" s="5">
        <v>50</v>
      </c>
      <c r="D295" s="10">
        <v>50</v>
      </c>
      <c r="F295" s="8">
        <v>290</v>
      </c>
      <c r="G295" s="5"/>
    </row>
    <row r="296" spans="2:7" ht="15.6" x14ac:dyDescent="0.3">
      <c r="B296" s="8">
        <v>291</v>
      </c>
      <c r="C296" s="5">
        <v>50</v>
      </c>
      <c r="D296" s="10">
        <v>50</v>
      </c>
      <c r="F296" s="8">
        <v>291</v>
      </c>
      <c r="G296" s="5"/>
    </row>
    <row r="297" spans="2:7" ht="15.6" x14ac:dyDescent="0.3">
      <c r="B297" s="8">
        <v>292</v>
      </c>
      <c r="C297" s="5"/>
      <c r="D297" s="10"/>
      <c r="F297" s="8">
        <v>292</v>
      </c>
      <c r="G297" s="5"/>
    </row>
    <row r="298" spans="2:7" ht="15.6" x14ac:dyDescent="0.3">
      <c r="B298" s="8">
        <v>293</v>
      </c>
      <c r="C298" s="5"/>
      <c r="D298" s="10"/>
      <c r="F298" s="8">
        <v>293</v>
      </c>
      <c r="G298" s="5"/>
    </row>
    <row r="299" spans="2:7" ht="15.6" x14ac:dyDescent="0.3">
      <c r="B299" s="8">
        <v>294</v>
      </c>
      <c r="C299" s="5"/>
      <c r="D299" s="10"/>
      <c r="F299" s="8">
        <v>294</v>
      </c>
      <c r="G299" s="5"/>
    </row>
    <row r="300" spans="2:7" ht="15.6" x14ac:dyDescent="0.3">
      <c r="B300" s="8">
        <v>295</v>
      </c>
      <c r="C300" s="5"/>
      <c r="D300" s="10"/>
      <c r="F300" s="8">
        <v>295</v>
      </c>
      <c r="G300" s="5"/>
    </row>
    <row r="301" spans="2:7" ht="15.6" x14ac:dyDescent="0.3">
      <c r="B301" s="8">
        <v>296</v>
      </c>
      <c r="C301" s="5"/>
      <c r="D301" s="10"/>
      <c r="F301" s="8">
        <v>296</v>
      </c>
      <c r="G301" s="5"/>
    </row>
    <row r="302" spans="2:7" ht="15.6" x14ac:dyDescent="0.3">
      <c r="B302" s="8">
        <v>297</v>
      </c>
      <c r="C302" s="5"/>
      <c r="D302" s="10"/>
      <c r="F302" s="8">
        <v>297</v>
      </c>
      <c r="G302" s="5"/>
    </row>
    <row r="303" spans="2:7" ht="15.6" x14ac:dyDescent="0.3">
      <c r="B303" s="8">
        <v>298</v>
      </c>
      <c r="C303" s="5"/>
      <c r="D303" s="10"/>
      <c r="F303" s="8">
        <v>298</v>
      </c>
      <c r="G303" s="5"/>
    </row>
    <row r="304" spans="2:7" ht="15.6" x14ac:dyDescent="0.3">
      <c r="B304" s="8">
        <v>299</v>
      </c>
      <c r="C304" s="5"/>
      <c r="D304" s="10"/>
      <c r="F304" s="8">
        <v>299</v>
      </c>
      <c r="G304" s="5"/>
    </row>
    <row r="305" spans="2:7" ht="15.6" x14ac:dyDescent="0.3">
      <c r="B305" s="8">
        <v>300</v>
      </c>
      <c r="C305" s="5"/>
      <c r="D305" s="10"/>
      <c r="F305" s="8">
        <v>300</v>
      </c>
      <c r="G305" s="5"/>
    </row>
    <row r="306" spans="2:7" ht="15.6" x14ac:dyDescent="0.3">
      <c r="B306" s="8">
        <v>301</v>
      </c>
      <c r="C306" s="5">
        <v>50</v>
      </c>
      <c r="D306" s="10"/>
      <c r="F306" s="8">
        <v>301</v>
      </c>
      <c r="G306" s="5"/>
    </row>
    <row r="307" spans="2:7" ht="15.6" x14ac:dyDescent="0.3">
      <c r="B307" s="8">
        <v>302</v>
      </c>
      <c r="C307" s="5"/>
      <c r="D307" s="10"/>
      <c r="F307" s="8">
        <v>302</v>
      </c>
      <c r="G307" s="5"/>
    </row>
    <row r="308" spans="2:7" ht="15.6" x14ac:dyDescent="0.3">
      <c r="B308" s="8">
        <v>303</v>
      </c>
      <c r="C308" s="5"/>
      <c r="D308" s="10"/>
      <c r="F308" s="8">
        <v>303</v>
      </c>
      <c r="G308" s="5"/>
    </row>
    <row r="309" spans="2:7" ht="15.6" x14ac:dyDescent="0.3">
      <c r="B309" s="8">
        <v>304</v>
      </c>
      <c r="C309" s="5"/>
      <c r="D309" s="10"/>
      <c r="F309" s="8">
        <v>304</v>
      </c>
      <c r="G309" s="5"/>
    </row>
    <row r="310" spans="2:7" ht="15.6" x14ac:dyDescent="0.3">
      <c r="B310" s="8">
        <v>305</v>
      </c>
      <c r="C310" s="5"/>
      <c r="D310" s="10"/>
      <c r="F310" s="8">
        <v>305</v>
      </c>
      <c r="G310" s="5"/>
    </row>
    <row r="311" spans="2:7" ht="15.6" x14ac:dyDescent="0.3">
      <c r="B311" s="8">
        <v>306</v>
      </c>
      <c r="C311" s="5"/>
      <c r="D311" s="10"/>
      <c r="F311" s="8">
        <v>306</v>
      </c>
      <c r="G311" s="5"/>
    </row>
    <row r="312" spans="2:7" ht="15.6" x14ac:dyDescent="0.3">
      <c r="B312" s="8">
        <v>307</v>
      </c>
      <c r="C312" s="5"/>
      <c r="D312" s="10"/>
      <c r="F312" s="8">
        <v>307</v>
      </c>
      <c r="G312" s="5"/>
    </row>
    <row r="313" spans="2:7" ht="15.6" x14ac:dyDescent="0.3">
      <c r="B313" s="8">
        <v>308</v>
      </c>
      <c r="C313" s="5">
        <v>30</v>
      </c>
      <c r="D313" s="10">
        <v>30</v>
      </c>
      <c r="F313" s="8">
        <v>308</v>
      </c>
      <c r="G313" s="5"/>
    </row>
    <row r="314" spans="2:7" ht="15.6" x14ac:dyDescent="0.3">
      <c r="B314" s="8">
        <v>309</v>
      </c>
      <c r="C314" s="5">
        <v>30</v>
      </c>
      <c r="D314" s="10">
        <v>30</v>
      </c>
      <c r="F314" s="8">
        <v>309</v>
      </c>
      <c r="G314" s="5"/>
    </row>
    <row r="315" spans="2:7" ht="15.6" x14ac:dyDescent="0.3">
      <c r="B315" s="8">
        <v>310</v>
      </c>
      <c r="C315" s="5">
        <v>50</v>
      </c>
      <c r="D315" s="10"/>
      <c r="F315" s="8">
        <v>310</v>
      </c>
      <c r="G315" s="5">
        <v>50</v>
      </c>
    </row>
    <row r="316" spans="2:7" ht="15.6" x14ac:dyDescent="0.3">
      <c r="B316" s="8">
        <v>311</v>
      </c>
      <c r="C316" s="5"/>
      <c r="D316" s="10"/>
      <c r="F316" s="8">
        <v>311</v>
      </c>
      <c r="G316" s="5"/>
    </row>
    <row r="317" spans="2:7" ht="15.6" x14ac:dyDescent="0.3">
      <c r="B317" s="8">
        <v>312</v>
      </c>
      <c r="C317" s="5"/>
      <c r="D317" s="10"/>
      <c r="F317" s="8">
        <v>312</v>
      </c>
      <c r="G317" s="5"/>
    </row>
    <row r="318" spans="2:7" ht="15.6" x14ac:dyDescent="0.3">
      <c r="B318" s="8">
        <v>313</v>
      </c>
      <c r="C318" s="5"/>
      <c r="D318" s="10"/>
      <c r="F318" s="8">
        <v>313</v>
      </c>
      <c r="G318" s="5"/>
    </row>
    <row r="319" spans="2:7" ht="15.6" x14ac:dyDescent="0.3">
      <c r="B319" s="8">
        <v>314</v>
      </c>
      <c r="C319" s="5"/>
      <c r="D319" s="10"/>
      <c r="F319" s="8">
        <v>314</v>
      </c>
      <c r="G319" s="5"/>
    </row>
    <row r="320" spans="2:7" ht="15.6" x14ac:dyDescent="0.3">
      <c r="B320" s="8">
        <v>315</v>
      </c>
      <c r="C320" s="5"/>
      <c r="D320" s="10"/>
      <c r="F320" s="8">
        <v>315</v>
      </c>
      <c r="G320" s="5"/>
    </row>
    <row r="321" spans="2:7" ht="15.6" x14ac:dyDescent="0.3">
      <c r="B321" s="8">
        <v>316</v>
      </c>
      <c r="C321" s="5"/>
      <c r="D321" s="10"/>
      <c r="F321" s="8">
        <v>316</v>
      </c>
      <c r="G321" s="5"/>
    </row>
    <row r="322" spans="2:7" ht="15.6" x14ac:dyDescent="0.3">
      <c r="B322" s="8">
        <v>317</v>
      </c>
      <c r="C322" s="5"/>
      <c r="D322" s="10"/>
      <c r="F322" s="8">
        <v>317</v>
      </c>
      <c r="G322" s="5"/>
    </row>
    <row r="323" spans="2:7" ht="15.6" x14ac:dyDescent="0.3">
      <c r="B323" s="8">
        <v>318</v>
      </c>
      <c r="C323" s="5"/>
      <c r="D323" s="10"/>
      <c r="F323" s="8">
        <v>318</v>
      </c>
      <c r="G323" s="5"/>
    </row>
    <row r="324" spans="2:7" ht="15.6" x14ac:dyDescent="0.3">
      <c r="B324" s="8">
        <v>319</v>
      </c>
      <c r="C324" s="5"/>
      <c r="D324" s="10"/>
      <c r="F324" s="8">
        <v>319</v>
      </c>
      <c r="G324" s="5"/>
    </row>
    <row r="325" spans="2:7" ht="15.6" x14ac:dyDescent="0.3">
      <c r="B325" s="8">
        <v>320</v>
      </c>
      <c r="C325" s="5">
        <v>100</v>
      </c>
      <c r="D325" s="10">
        <v>100</v>
      </c>
      <c r="F325" s="8">
        <v>320</v>
      </c>
      <c r="G325" s="5">
        <v>100</v>
      </c>
    </row>
    <row r="326" spans="2:7" ht="15.6" x14ac:dyDescent="0.3">
      <c r="B326" s="8">
        <v>321</v>
      </c>
      <c r="C326" s="5">
        <v>100</v>
      </c>
      <c r="D326" s="10">
        <v>100</v>
      </c>
      <c r="F326" s="8">
        <v>321</v>
      </c>
      <c r="G326" s="5"/>
    </row>
    <row r="327" spans="2:7" ht="15.6" x14ac:dyDescent="0.3">
      <c r="B327" s="8">
        <v>322</v>
      </c>
      <c r="C327" s="5"/>
      <c r="D327" s="10"/>
      <c r="F327" s="8">
        <v>322</v>
      </c>
      <c r="G327" s="5"/>
    </row>
    <row r="328" spans="2:7" ht="15.6" x14ac:dyDescent="0.3">
      <c r="B328" s="8">
        <v>323</v>
      </c>
      <c r="C328" s="5"/>
      <c r="D328" s="10"/>
      <c r="F328" s="8">
        <v>323</v>
      </c>
      <c r="G328" s="5"/>
    </row>
    <row r="329" spans="2:7" ht="15.6" x14ac:dyDescent="0.3">
      <c r="B329" s="8">
        <v>324</v>
      </c>
      <c r="C329" s="5"/>
      <c r="D329" s="10"/>
      <c r="F329" s="8">
        <v>324</v>
      </c>
      <c r="G329" s="5"/>
    </row>
    <row r="330" spans="2:7" ht="15.6" x14ac:dyDescent="0.3">
      <c r="B330" s="8">
        <v>325</v>
      </c>
      <c r="C330" s="5"/>
      <c r="D330" s="10"/>
      <c r="F330" s="8">
        <v>325</v>
      </c>
      <c r="G330" s="5"/>
    </row>
    <row r="331" spans="2:7" ht="15.6" x14ac:dyDescent="0.3">
      <c r="B331" s="8">
        <v>326</v>
      </c>
      <c r="C331" s="5"/>
      <c r="D331" s="10"/>
      <c r="F331" s="8">
        <v>326</v>
      </c>
      <c r="G331" s="5"/>
    </row>
    <row r="332" spans="2:7" ht="15.6" x14ac:dyDescent="0.3">
      <c r="B332" s="8">
        <v>327</v>
      </c>
      <c r="C332" s="5"/>
      <c r="D332" s="10"/>
      <c r="F332" s="8">
        <v>327</v>
      </c>
      <c r="G332" s="5"/>
    </row>
    <row r="333" spans="2:7" ht="15.6" x14ac:dyDescent="0.3">
      <c r="B333" s="8">
        <v>328</v>
      </c>
      <c r="C333" s="5"/>
      <c r="D333" s="10"/>
      <c r="F333" s="8">
        <v>328</v>
      </c>
      <c r="G333" s="5"/>
    </row>
    <row r="334" spans="2:7" ht="15.6" x14ac:dyDescent="0.3">
      <c r="B334" s="8">
        <v>329</v>
      </c>
      <c r="C334" s="5"/>
      <c r="D334" s="10"/>
      <c r="F334" s="8">
        <v>329</v>
      </c>
      <c r="G334" s="5"/>
    </row>
    <row r="335" spans="2:7" ht="15.6" x14ac:dyDescent="0.3">
      <c r="B335" s="8">
        <v>330</v>
      </c>
      <c r="C335" s="5"/>
      <c r="D335" s="10"/>
      <c r="F335" s="8">
        <v>330</v>
      </c>
      <c r="G335" s="5"/>
    </row>
    <row r="336" spans="2:7" ht="15.6" x14ac:dyDescent="0.3">
      <c r="B336" s="8">
        <v>331</v>
      </c>
      <c r="C336" s="5"/>
      <c r="D336" s="10"/>
      <c r="F336" s="8">
        <v>331</v>
      </c>
      <c r="G336" s="5"/>
    </row>
    <row r="337" spans="2:7" ht="15.6" x14ac:dyDescent="0.3">
      <c r="B337" s="8">
        <v>332</v>
      </c>
      <c r="C337" s="5"/>
      <c r="D337" s="10"/>
      <c r="F337" s="8">
        <v>332</v>
      </c>
      <c r="G337" s="5"/>
    </row>
    <row r="338" spans="2:7" ht="15.6" x14ac:dyDescent="0.3">
      <c r="B338" s="8">
        <v>333</v>
      </c>
      <c r="C338" s="5"/>
      <c r="D338" s="10"/>
      <c r="F338" s="8">
        <v>333</v>
      </c>
      <c r="G338" s="5"/>
    </row>
    <row r="339" spans="2:7" ht="15.6" x14ac:dyDescent="0.3">
      <c r="B339" s="8">
        <v>334</v>
      </c>
      <c r="C339" s="5"/>
      <c r="D339" s="10"/>
      <c r="F339" s="8">
        <v>334</v>
      </c>
      <c r="G339" s="5"/>
    </row>
    <row r="340" spans="2:7" ht="15.6" x14ac:dyDescent="0.3">
      <c r="B340" s="8">
        <v>335</v>
      </c>
      <c r="C340" s="5"/>
      <c r="D340" s="10"/>
      <c r="F340" s="8">
        <v>335</v>
      </c>
      <c r="G340" s="5"/>
    </row>
    <row r="341" spans="2:7" ht="15.6" x14ac:dyDescent="0.3">
      <c r="B341" s="8">
        <v>336</v>
      </c>
      <c r="C341" s="5"/>
      <c r="D341" s="10"/>
      <c r="F341" s="8">
        <v>336</v>
      </c>
      <c r="G341" s="5"/>
    </row>
    <row r="342" spans="2:7" ht="15.6" x14ac:dyDescent="0.3">
      <c r="B342" s="8">
        <v>337</v>
      </c>
      <c r="C342" s="5"/>
      <c r="D342" s="10"/>
      <c r="F342" s="8">
        <v>337</v>
      </c>
      <c r="G342" s="5"/>
    </row>
    <row r="343" spans="2:7" ht="15.6" x14ac:dyDescent="0.3">
      <c r="B343" s="8">
        <v>338</v>
      </c>
      <c r="C343" s="5"/>
      <c r="D343" s="10"/>
      <c r="F343" s="8">
        <v>338</v>
      </c>
      <c r="G343" s="5"/>
    </row>
    <row r="344" spans="2:7" ht="15.6" x14ac:dyDescent="0.3">
      <c r="B344" s="8">
        <v>339</v>
      </c>
      <c r="C344" s="5"/>
      <c r="D344" s="10"/>
      <c r="F344" s="8">
        <v>339</v>
      </c>
      <c r="G344" s="5"/>
    </row>
    <row r="345" spans="2:7" ht="15.6" x14ac:dyDescent="0.3">
      <c r="B345" s="8">
        <v>340</v>
      </c>
      <c r="C345" s="5"/>
      <c r="D345" s="10"/>
      <c r="F345" s="8">
        <v>340</v>
      </c>
      <c r="G345" s="5"/>
    </row>
    <row r="346" spans="2:7" ht="15.6" x14ac:dyDescent="0.3">
      <c r="B346" s="8">
        <v>341</v>
      </c>
      <c r="C346" s="5"/>
      <c r="D346" s="10"/>
      <c r="F346" s="8">
        <v>341</v>
      </c>
      <c r="G346" s="5"/>
    </row>
    <row r="347" spans="2:7" ht="15.6" x14ac:dyDescent="0.3">
      <c r="B347" s="8">
        <v>342</v>
      </c>
      <c r="C347" s="5"/>
      <c r="D347" s="10"/>
      <c r="F347" s="8">
        <v>342</v>
      </c>
      <c r="G347" s="5"/>
    </row>
    <row r="348" spans="2:7" ht="15.6" x14ac:dyDescent="0.3">
      <c r="B348" s="8">
        <v>343</v>
      </c>
      <c r="C348" s="5">
        <v>300</v>
      </c>
      <c r="D348" s="10">
        <v>300</v>
      </c>
      <c r="F348" s="8">
        <v>343</v>
      </c>
      <c r="G348" s="5"/>
    </row>
    <row r="349" spans="2:7" ht="15.6" x14ac:dyDescent="0.3">
      <c r="B349" s="8">
        <v>344</v>
      </c>
      <c r="C349" s="5"/>
      <c r="D349" s="10"/>
      <c r="F349" s="8">
        <v>344</v>
      </c>
      <c r="G349" s="5"/>
    </row>
    <row r="350" spans="2:7" ht="15.6" x14ac:dyDescent="0.3">
      <c r="B350" s="8">
        <v>345</v>
      </c>
      <c r="C350" s="5"/>
      <c r="D350" s="10"/>
      <c r="F350" s="8">
        <v>345</v>
      </c>
      <c r="G350" s="5"/>
    </row>
    <row r="351" spans="2:7" ht="15.6" x14ac:dyDescent="0.3">
      <c r="B351" s="8">
        <v>346</v>
      </c>
      <c r="C351" s="5"/>
      <c r="D351" s="10"/>
      <c r="F351" s="8">
        <v>346</v>
      </c>
      <c r="G351" s="5"/>
    </row>
    <row r="352" spans="2:7" ht="15.6" x14ac:dyDescent="0.3">
      <c r="B352" s="8">
        <v>347</v>
      </c>
      <c r="C352" s="5"/>
      <c r="D352" s="10"/>
      <c r="F352" s="8">
        <v>347</v>
      </c>
      <c r="G352" s="5"/>
    </row>
    <row r="353" spans="2:7" ht="15.6" x14ac:dyDescent="0.3">
      <c r="B353" s="8">
        <v>348</v>
      </c>
      <c r="C353" s="5"/>
      <c r="D353" s="10"/>
      <c r="F353" s="8">
        <v>348</v>
      </c>
      <c r="G353" s="5"/>
    </row>
    <row r="354" spans="2:7" ht="15.6" x14ac:dyDescent="0.3">
      <c r="B354" s="8">
        <v>349</v>
      </c>
      <c r="C354" s="5"/>
      <c r="D354" s="10"/>
      <c r="F354" s="8">
        <v>349</v>
      </c>
      <c r="G354" s="5"/>
    </row>
    <row r="355" spans="2:7" ht="15.6" x14ac:dyDescent="0.3">
      <c r="B355" s="8">
        <v>350</v>
      </c>
      <c r="C355" s="5"/>
      <c r="D355" s="10"/>
      <c r="F355" s="8">
        <v>350</v>
      </c>
      <c r="G355" s="5"/>
    </row>
    <row r="356" spans="2:7" ht="15.6" x14ac:dyDescent="0.3">
      <c r="B356" s="8">
        <v>351</v>
      </c>
      <c r="C356" s="5"/>
      <c r="D356" s="10"/>
      <c r="F356" s="8">
        <v>351</v>
      </c>
      <c r="G356" s="5"/>
    </row>
    <row r="357" spans="2:7" ht="15.6" x14ac:dyDescent="0.3">
      <c r="B357" s="8">
        <v>352</v>
      </c>
      <c r="C357" s="5"/>
      <c r="D357" s="10"/>
      <c r="F357" s="8">
        <v>352</v>
      </c>
      <c r="G357" s="5"/>
    </row>
    <row r="358" spans="2:7" ht="15.6" x14ac:dyDescent="0.3">
      <c r="B358" s="8">
        <v>353</v>
      </c>
      <c r="C358" s="5"/>
      <c r="D358" s="10"/>
      <c r="F358" s="8">
        <v>353</v>
      </c>
      <c r="G358" s="5"/>
    </row>
    <row r="359" spans="2:7" ht="15.6" x14ac:dyDescent="0.3">
      <c r="B359" s="8">
        <v>354</v>
      </c>
      <c r="C359" s="5"/>
      <c r="D359" s="10"/>
      <c r="F359" s="8">
        <v>354</v>
      </c>
      <c r="G359" s="5"/>
    </row>
    <row r="360" spans="2:7" ht="15.6" x14ac:dyDescent="0.3">
      <c r="B360" s="8">
        <v>355</v>
      </c>
      <c r="C360" s="5"/>
      <c r="D360" s="10"/>
      <c r="F360" s="8">
        <v>355</v>
      </c>
      <c r="G360" s="5"/>
    </row>
    <row r="361" spans="2:7" ht="15.6" x14ac:dyDescent="0.3">
      <c r="B361" s="8">
        <v>356</v>
      </c>
      <c r="C361" s="5"/>
      <c r="D361" s="10"/>
      <c r="F361" s="8">
        <v>356</v>
      </c>
      <c r="G361" s="5"/>
    </row>
    <row r="362" spans="2:7" ht="15.6" x14ac:dyDescent="0.3">
      <c r="B362" s="8">
        <v>357</v>
      </c>
      <c r="C362" s="5">
        <v>200</v>
      </c>
      <c r="D362" s="10">
        <v>200</v>
      </c>
      <c r="F362" s="8">
        <v>357</v>
      </c>
      <c r="G362" s="5"/>
    </row>
    <row r="363" spans="2:7" ht="15.6" x14ac:dyDescent="0.3">
      <c r="B363" s="8">
        <v>358</v>
      </c>
      <c r="C363" s="5"/>
      <c r="D363" s="10"/>
      <c r="F363" s="8">
        <v>358</v>
      </c>
      <c r="G363" s="5"/>
    </row>
    <row r="364" spans="2:7" ht="15.6" x14ac:dyDescent="0.3">
      <c r="B364" s="8">
        <v>359</v>
      </c>
      <c r="C364" s="5"/>
      <c r="D364" s="10"/>
      <c r="F364" s="8">
        <v>359</v>
      </c>
      <c r="G364" s="5"/>
    </row>
    <row r="365" spans="2:7" ht="15.6" x14ac:dyDescent="0.3">
      <c r="B365" s="8">
        <v>360</v>
      </c>
      <c r="C365" s="5"/>
      <c r="D365" s="10"/>
      <c r="F365" s="8">
        <v>360</v>
      </c>
      <c r="G365" s="5"/>
    </row>
    <row r="366" spans="2:7" ht="15.6" x14ac:dyDescent="0.3">
      <c r="B366" s="8">
        <v>361</v>
      </c>
      <c r="C366" s="5"/>
      <c r="D366" s="10"/>
      <c r="F366" s="8">
        <v>361</v>
      </c>
      <c r="G366" s="5"/>
    </row>
    <row r="367" spans="2:7" ht="15.6" x14ac:dyDescent="0.3">
      <c r="B367" s="8">
        <v>362</v>
      </c>
      <c r="C367" s="5"/>
      <c r="D367" s="10"/>
      <c r="F367" s="8">
        <v>362</v>
      </c>
      <c r="G367" s="5"/>
    </row>
    <row r="368" spans="2:7" ht="15.6" x14ac:dyDescent="0.3">
      <c r="B368" s="8">
        <v>363</v>
      </c>
      <c r="C368" s="5"/>
      <c r="D368" s="10"/>
      <c r="F368" s="8">
        <v>363</v>
      </c>
      <c r="G368" s="5"/>
    </row>
    <row r="369" spans="2:7" ht="15.6" x14ac:dyDescent="0.3">
      <c r="B369" s="8">
        <v>364</v>
      </c>
      <c r="C369" s="5">
        <v>50</v>
      </c>
      <c r="D369" s="10">
        <v>50</v>
      </c>
      <c r="F369" s="8">
        <v>364</v>
      </c>
      <c r="G369" s="5"/>
    </row>
    <row r="370" spans="2:7" ht="15.6" x14ac:dyDescent="0.3">
      <c r="B370" s="8">
        <v>365</v>
      </c>
      <c r="C370" s="5"/>
      <c r="D370" s="10"/>
      <c r="F370" s="8">
        <v>365</v>
      </c>
      <c r="G370" s="5"/>
    </row>
    <row r="371" spans="2:7" ht="15.6" x14ac:dyDescent="0.3">
      <c r="B371" s="8">
        <v>366</v>
      </c>
      <c r="C371" s="5"/>
      <c r="D371" s="10"/>
      <c r="F371" s="8">
        <v>366</v>
      </c>
      <c r="G371" s="5"/>
    </row>
    <row r="372" spans="2:7" ht="15.6" x14ac:dyDescent="0.3">
      <c r="B372" s="8">
        <v>367</v>
      </c>
      <c r="C372" s="5">
        <v>50</v>
      </c>
      <c r="D372" s="10"/>
      <c r="F372" s="8">
        <v>367</v>
      </c>
      <c r="G372" s="5">
        <v>100</v>
      </c>
    </row>
    <row r="373" spans="2:7" ht="15.6" x14ac:dyDescent="0.3">
      <c r="B373" s="8">
        <v>368</v>
      </c>
      <c r="C373" s="5"/>
      <c r="D373" s="10"/>
      <c r="F373" s="8">
        <v>368</v>
      </c>
      <c r="G373" s="5"/>
    </row>
    <row r="374" spans="2:7" ht="15.6" x14ac:dyDescent="0.3">
      <c r="B374" s="8">
        <v>369</v>
      </c>
      <c r="C374" s="5"/>
      <c r="D374" s="10"/>
      <c r="F374" s="8">
        <v>369</v>
      </c>
      <c r="G374" s="5"/>
    </row>
    <row r="375" spans="2:7" ht="15.6" x14ac:dyDescent="0.3">
      <c r="B375" s="8">
        <v>370</v>
      </c>
      <c r="C375" s="5"/>
      <c r="D375" s="10"/>
      <c r="F375" s="8">
        <v>370</v>
      </c>
      <c r="G375" s="5"/>
    </row>
    <row r="376" spans="2:7" ht="15.6" x14ac:dyDescent="0.3">
      <c r="B376" s="8">
        <v>371</v>
      </c>
      <c r="C376" s="5"/>
      <c r="D376" s="10"/>
      <c r="F376" s="8">
        <v>371</v>
      </c>
      <c r="G376" s="5"/>
    </row>
    <row r="377" spans="2:7" ht="15.6" x14ac:dyDescent="0.3">
      <c r="B377" s="8">
        <v>372</v>
      </c>
      <c r="C377" s="5">
        <v>300</v>
      </c>
      <c r="D377" s="10">
        <v>300</v>
      </c>
      <c r="F377" s="8">
        <v>372</v>
      </c>
      <c r="G377" s="5"/>
    </row>
    <row r="378" spans="2:7" ht="15.6" x14ac:dyDescent="0.3">
      <c r="B378" s="8">
        <v>373</v>
      </c>
      <c r="C378" s="5"/>
      <c r="D378" s="10"/>
      <c r="F378" s="8">
        <v>373</v>
      </c>
      <c r="G378" s="5"/>
    </row>
    <row r="379" spans="2:7" ht="15.6" x14ac:dyDescent="0.3">
      <c r="B379" s="8">
        <v>374</v>
      </c>
      <c r="C379" s="5"/>
      <c r="D379" s="10"/>
      <c r="F379" s="8">
        <v>374</v>
      </c>
      <c r="G379" s="5"/>
    </row>
    <row r="380" spans="2:7" ht="15.6" x14ac:dyDescent="0.3">
      <c r="B380" s="8">
        <v>375</v>
      </c>
      <c r="C380" s="5">
        <v>20</v>
      </c>
      <c r="D380" s="10">
        <v>20</v>
      </c>
      <c r="F380" s="8">
        <v>375</v>
      </c>
      <c r="G380" s="5"/>
    </row>
    <row r="381" spans="2:7" ht="15.6" x14ac:dyDescent="0.3">
      <c r="B381" s="8">
        <v>376</v>
      </c>
      <c r="C381" s="5">
        <v>50</v>
      </c>
      <c r="D381" s="10"/>
      <c r="F381" s="8">
        <v>376</v>
      </c>
      <c r="G381" s="5">
        <v>100</v>
      </c>
    </row>
    <row r="382" spans="2:7" ht="15.6" x14ac:dyDescent="0.3">
      <c r="B382" s="8">
        <v>377</v>
      </c>
      <c r="C382" s="5"/>
      <c r="D382" s="10"/>
      <c r="F382" s="8">
        <v>377</v>
      </c>
      <c r="G382" s="5"/>
    </row>
    <row r="383" spans="2:7" ht="15.6" x14ac:dyDescent="0.3">
      <c r="B383" s="8">
        <v>378</v>
      </c>
      <c r="C383" s="5">
        <v>50</v>
      </c>
      <c r="D383" s="10"/>
      <c r="F383" s="8">
        <v>378</v>
      </c>
      <c r="G383" s="5"/>
    </row>
    <row r="384" spans="2:7" ht="15.6" x14ac:dyDescent="0.3">
      <c r="B384" s="8">
        <v>379</v>
      </c>
      <c r="C384" s="5">
        <v>50</v>
      </c>
      <c r="D384" s="10"/>
      <c r="F384" s="8">
        <v>379</v>
      </c>
      <c r="G384" s="5">
        <v>100</v>
      </c>
    </row>
    <row r="385" spans="2:7" ht="15.6" x14ac:dyDescent="0.3">
      <c r="B385" s="8">
        <v>380</v>
      </c>
      <c r="C385" s="5"/>
      <c r="D385" s="10"/>
      <c r="F385" s="8">
        <v>380</v>
      </c>
      <c r="G385" s="5"/>
    </row>
    <row r="386" spans="2:7" ht="15.6" x14ac:dyDescent="0.3">
      <c r="B386" s="8">
        <v>381</v>
      </c>
      <c r="C386" s="5"/>
      <c r="D386" s="10"/>
      <c r="F386" s="8">
        <v>381</v>
      </c>
      <c r="G386" s="5"/>
    </row>
    <row r="387" spans="2:7" ht="15.6" x14ac:dyDescent="0.3">
      <c r="B387" s="8">
        <v>382</v>
      </c>
      <c r="C387" s="5"/>
      <c r="D387" s="10"/>
      <c r="F387" s="8">
        <v>382</v>
      </c>
      <c r="G387" s="5"/>
    </row>
    <row r="388" spans="2:7" ht="15.6" x14ac:dyDescent="0.3">
      <c r="B388" s="8">
        <v>383</v>
      </c>
      <c r="C388" s="5"/>
      <c r="D388" s="10"/>
      <c r="F388" s="8">
        <v>383</v>
      </c>
      <c r="G388" s="5"/>
    </row>
    <row r="389" spans="2:7" ht="15.6" x14ac:dyDescent="0.3">
      <c r="B389" s="8">
        <v>384</v>
      </c>
      <c r="C389" s="5"/>
      <c r="D389" s="10"/>
      <c r="F389" s="8">
        <v>384</v>
      </c>
      <c r="G389" s="5"/>
    </row>
    <row r="390" spans="2:7" ht="15.6" x14ac:dyDescent="0.3">
      <c r="B390" s="8">
        <v>385</v>
      </c>
      <c r="C390" s="5"/>
      <c r="D390" s="10"/>
      <c r="F390" s="8">
        <v>385</v>
      </c>
      <c r="G390" s="5"/>
    </row>
    <row r="391" spans="2:7" ht="15.6" x14ac:dyDescent="0.3">
      <c r="B391" s="8">
        <v>386</v>
      </c>
      <c r="C391" s="5"/>
      <c r="D391" s="10"/>
      <c r="F391" s="8">
        <v>386</v>
      </c>
      <c r="G391" s="5"/>
    </row>
    <row r="392" spans="2:7" ht="15.6" x14ac:dyDescent="0.3">
      <c r="B392" s="8">
        <v>387</v>
      </c>
      <c r="C392" s="5">
        <v>50</v>
      </c>
      <c r="D392" s="10"/>
      <c r="F392" s="8">
        <v>387</v>
      </c>
      <c r="G392" s="5"/>
    </row>
    <row r="393" spans="2:7" ht="15.6" x14ac:dyDescent="0.3">
      <c r="B393" s="8">
        <v>388</v>
      </c>
      <c r="C393" s="5"/>
      <c r="D393" s="10"/>
      <c r="F393" s="8">
        <v>388</v>
      </c>
      <c r="G393" s="5"/>
    </row>
    <row r="394" spans="2:7" ht="15.6" x14ac:dyDescent="0.3">
      <c r="B394" s="8">
        <v>389</v>
      </c>
      <c r="C394" s="5"/>
      <c r="D394" s="10"/>
      <c r="F394" s="8">
        <v>389</v>
      </c>
      <c r="G394" s="5"/>
    </row>
    <row r="395" spans="2:7" ht="15.6" x14ac:dyDescent="0.3">
      <c r="B395" s="8">
        <v>390</v>
      </c>
      <c r="C395" s="5"/>
      <c r="D395" s="10"/>
      <c r="F395" s="8">
        <v>390</v>
      </c>
      <c r="G395" s="5"/>
    </row>
    <row r="396" spans="2:7" ht="15.6" x14ac:dyDescent="0.3">
      <c r="B396" s="8">
        <v>391</v>
      </c>
      <c r="C396" s="5">
        <v>100</v>
      </c>
      <c r="D396" s="10">
        <v>100</v>
      </c>
      <c r="F396" s="8">
        <v>391</v>
      </c>
      <c r="G396" s="5"/>
    </row>
    <row r="397" spans="2:7" ht="15.6" x14ac:dyDescent="0.3">
      <c r="B397" s="8">
        <v>392</v>
      </c>
      <c r="C397" s="5"/>
      <c r="D397" s="10"/>
      <c r="F397" s="8">
        <v>392</v>
      </c>
      <c r="G397" s="5"/>
    </row>
    <row r="398" spans="2:7" ht="15.6" x14ac:dyDescent="0.3">
      <c r="B398" s="8">
        <v>393</v>
      </c>
      <c r="C398" s="5"/>
      <c r="D398" s="10"/>
      <c r="F398" s="8">
        <v>393</v>
      </c>
      <c r="G398" s="5"/>
    </row>
    <row r="399" spans="2:7" ht="15.6" x14ac:dyDescent="0.3">
      <c r="B399" s="8">
        <v>394</v>
      </c>
      <c r="C399" s="5"/>
      <c r="D399" s="10"/>
      <c r="F399" s="8">
        <v>394</v>
      </c>
      <c r="G399" s="5"/>
    </row>
    <row r="400" spans="2:7" ht="15.6" x14ac:dyDescent="0.3">
      <c r="B400" s="8">
        <v>395</v>
      </c>
      <c r="C400" s="5"/>
      <c r="D400" s="10"/>
      <c r="F400" s="8">
        <v>395</v>
      </c>
      <c r="G400" s="5"/>
    </row>
    <row r="401" spans="2:7" ht="15.6" x14ac:dyDescent="0.3">
      <c r="B401" s="8">
        <v>396</v>
      </c>
      <c r="C401" s="5">
        <v>50</v>
      </c>
      <c r="D401" s="10">
        <v>50</v>
      </c>
      <c r="F401" s="8">
        <v>396</v>
      </c>
      <c r="G401" s="5"/>
    </row>
    <row r="402" spans="2:7" ht="15.6" x14ac:dyDescent="0.3">
      <c r="B402" s="8">
        <v>397</v>
      </c>
      <c r="C402" s="5">
        <v>50</v>
      </c>
      <c r="D402" s="10"/>
      <c r="F402" s="8">
        <v>397</v>
      </c>
      <c r="G402" s="5">
        <v>100</v>
      </c>
    </row>
    <row r="403" spans="2:7" ht="15.6" x14ac:dyDescent="0.3">
      <c r="B403" s="8">
        <v>398</v>
      </c>
      <c r="C403" s="5"/>
      <c r="D403" s="10"/>
      <c r="F403" s="8">
        <v>398</v>
      </c>
      <c r="G403" s="5"/>
    </row>
    <row r="404" spans="2:7" ht="15.6" x14ac:dyDescent="0.3">
      <c r="B404" s="8">
        <v>399</v>
      </c>
      <c r="C404" s="5"/>
      <c r="D404" s="10"/>
      <c r="F404" s="8">
        <v>399</v>
      </c>
      <c r="G404" s="5"/>
    </row>
    <row r="405" spans="2:7" ht="15.6" x14ac:dyDescent="0.3">
      <c r="B405" s="8">
        <v>400</v>
      </c>
      <c r="C405" s="5"/>
      <c r="D405" s="10"/>
      <c r="F405" s="8">
        <v>400</v>
      </c>
      <c r="G405" s="5"/>
    </row>
    <row r="406" spans="2:7" ht="15.6" x14ac:dyDescent="0.3">
      <c r="B406" s="8">
        <v>401</v>
      </c>
      <c r="C406" s="5"/>
      <c r="D406" s="10"/>
      <c r="F406" s="8">
        <v>401</v>
      </c>
      <c r="G406" s="5"/>
    </row>
    <row r="407" spans="2:7" ht="15.6" x14ac:dyDescent="0.3">
      <c r="B407" s="8">
        <v>402</v>
      </c>
      <c r="C407" s="5"/>
      <c r="D407" s="10"/>
      <c r="F407" s="8">
        <v>402</v>
      </c>
      <c r="G407" s="5"/>
    </row>
    <row r="408" spans="2:7" ht="15.6" x14ac:dyDescent="0.3">
      <c r="B408" s="8">
        <v>403</v>
      </c>
      <c r="C408" s="5"/>
      <c r="D408" s="10"/>
      <c r="F408" s="8">
        <v>403</v>
      </c>
      <c r="G408" s="5"/>
    </row>
    <row r="409" spans="2:7" ht="15.6" x14ac:dyDescent="0.3">
      <c r="B409" s="8">
        <v>404</v>
      </c>
      <c r="C409" s="5"/>
      <c r="D409" s="10"/>
      <c r="F409" s="8">
        <v>404</v>
      </c>
      <c r="G409" s="5"/>
    </row>
    <row r="410" spans="2:7" ht="15.6" x14ac:dyDescent="0.3">
      <c r="B410" s="8">
        <v>405</v>
      </c>
      <c r="C410" s="5">
        <v>50</v>
      </c>
      <c r="D410" s="10">
        <v>50</v>
      </c>
      <c r="F410" s="8">
        <v>405</v>
      </c>
      <c r="G410" s="5"/>
    </row>
    <row r="411" spans="2:7" ht="15.6" x14ac:dyDescent="0.3">
      <c r="B411" s="8">
        <v>406</v>
      </c>
      <c r="C411" s="5"/>
      <c r="D411" s="10"/>
      <c r="F411" s="8">
        <v>406</v>
      </c>
      <c r="G411" s="5"/>
    </row>
    <row r="412" spans="2:7" ht="15.6" x14ac:dyDescent="0.3">
      <c r="B412" s="8">
        <v>407</v>
      </c>
      <c r="C412" s="5"/>
      <c r="D412" s="10"/>
      <c r="F412" s="8">
        <v>407</v>
      </c>
      <c r="G412" s="5"/>
    </row>
    <row r="413" spans="2:7" ht="15.6" x14ac:dyDescent="0.3">
      <c r="B413" s="8">
        <v>408</v>
      </c>
      <c r="C413" s="5"/>
      <c r="D413" s="10"/>
      <c r="F413" s="8">
        <v>408</v>
      </c>
      <c r="G413" s="5"/>
    </row>
    <row r="414" spans="2:7" ht="15.6" x14ac:dyDescent="0.3">
      <c r="B414" s="8">
        <v>409</v>
      </c>
      <c r="C414" s="5"/>
      <c r="D414" s="10"/>
      <c r="F414" s="8">
        <v>409</v>
      </c>
      <c r="G414" s="5"/>
    </row>
    <row r="415" spans="2:7" ht="15.6" x14ac:dyDescent="0.3">
      <c r="B415" s="8">
        <v>410</v>
      </c>
      <c r="C415" s="5"/>
      <c r="D415" s="10"/>
      <c r="F415" s="8">
        <v>410</v>
      </c>
      <c r="G415" s="5"/>
    </row>
    <row r="416" spans="2:7" ht="15.6" x14ac:dyDescent="0.3">
      <c r="B416" s="8">
        <v>411</v>
      </c>
      <c r="C416" s="5"/>
      <c r="D416" s="10"/>
      <c r="F416" s="8">
        <v>411</v>
      </c>
      <c r="G416" s="5"/>
    </row>
    <row r="417" spans="2:7" ht="15.6" x14ac:dyDescent="0.3">
      <c r="B417" s="8">
        <v>412</v>
      </c>
      <c r="C417" s="5"/>
      <c r="D417" s="10"/>
      <c r="F417" s="8">
        <v>412</v>
      </c>
      <c r="G417" s="5"/>
    </row>
    <row r="418" spans="2:7" ht="15.6" x14ac:dyDescent="0.3">
      <c r="B418" s="8">
        <v>413</v>
      </c>
      <c r="C418" s="5"/>
      <c r="D418" s="10"/>
      <c r="F418" s="8">
        <v>413</v>
      </c>
      <c r="G418" s="5"/>
    </row>
    <row r="419" spans="2:7" ht="15.6" x14ac:dyDescent="0.3">
      <c r="B419" s="8">
        <v>414</v>
      </c>
      <c r="C419" s="5"/>
      <c r="D419" s="10"/>
      <c r="F419" s="8">
        <v>414</v>
      </c>
      <c r="G419" s="5"/>
    </row>
    <row r="420" spans="2:7" ht="15.6" x14ac:dyDescent="0.3">
      <c r="B420" s="8">
        <v>415</v>
      </c>
      <c r="C420" s="5">
        <v>50</v>
      </c>
      <c r="D420" s="10">
        <v>50</v>
      </c>
      <c r="F420" s="8">
        <v>415</v>
      </c>
      <c r="G420" s="5"/>
    </row>
    <row r="421" spans="2:7" ht="15.6" x14ac:dyDescent="0.3">
      <c r="B421" s="8">
        <v>416</v>
      </c>
      <c r="C421" s="5"/>
      <c r="D421" s="10"/>
      <c r="F421" s="8">
        <v>416</v>
      </c>
      <c r="G421" s="5"/>
    </row>
    <row r="422" spans="2:7" ht="15.6" x14ac:dyDescent="0.3">
      <c r="B422" s="8">
        <v>417</v>
      </c>
      <c r="C422" s="5">
        <v>100</v>
      </c>
      <c r="D422" s="10">
        <v>100</v>
      </c>
      <c r="F422" s="8">
        <v>417</v>
      </c>
      <c r="G422" s="5"/>
    </row>
    <row r="423" spans="2:7" ht="15.6" x14ac:dyDescent="0.3">
      <c r="B423" s="8">
        <v>418</v>
      </c>
      <c r="C423" s="5"/>
      <c r="D423" s="10"/>
      <c r="F423" s="8">
        <v>418</v>
      </c>
      <c r="G423" s="5"/>
    </row>
    <row r="424" spans="2:7" ht="15.6" x14ac:dyDescent="0.3">
      <c r="B424" s="8">
        <v>419</v>
      </c>
      <c r="C424" s="5"/>
      <c r="D424" s="10"/>
      <c r="F424" s="8">
        <v>419</v>
      </c>
      <c r="G424" s="5"/>
    </row>
    <row r="425" spans="2:7" ht="15.6" x14ac:dyDescent="0.3">
      <c r="B425" s="8">
        <v>420</v>
      </c>
      <c r="C425" s="5"/>
      <c r="D425" s="10"/>
      <c r="F425" s="8">
        <v>420</v>
      </c>
      <c r="G425" s="5"/>
    </row>
    <row r="426" spans="2:7" ht="15.6" x14ac:dyDescent="0.3">
      <c r="B426" s="8">
        <v>421</v>
      </c>
      <c r="C426" s="5"/>
      <c r="D426" s="10"/>
      <c r="F426" s="8">
        <v>421</v>
      </c>
      <c r="G426" s="5"/>
    </row>
    <row r="427" spans="2:7" ht="15.6" x14ac:dyDescent="0.3">
      <c r="B427" s="8">
        <v>422</v>
      </c>
      <c r="C427" s="5"/>
      <c r="D427" s="10"/>
      <c r="F427" s="8">
        <v>422</v>
      </c>
      <c r="G427" s="5"/>
    </row>
    <row r="428" spans="2:7" ht="15.6" x14ac:dyDescent="0.3">
      <c r="B428" s="8">
        <v>423</v>
      </c>
      <c r="C428" s="5">
        <v>50</v>
      </c>
      <c r="D428" s="10">
        <v>50</v>
      </c>
      <c r="F428" s="8">
        <v>423</v>
      </c>
      <c r="G428" s="5"/>
    </row>
    <row r="429" spans="2:7" ht="15.6" x14ac:dyDescent="0.3">
      <c r="B429" s="8">
        <v>424</v>
      </c>
      <c r="C429" s="5"/>
      <c r="D429" s="10"/>
      <c r="F429" s="8">
        <v>424</v>
      </c>
      <c r="G429" s="5"/>
    </row>
    <row r="430" spans="2:7" ht="15.6" x14ac:dyDescent="0.3">
      <c r="B430" s="8">
        <v>425</v>
      </c>
      <c r="C430" s="5">
        <v>100</v>
      </c>
      <c r="D430" s="10">
        <v>100</v>
      </c>
      <c r="F430" s="8">
        <v>425</v>
      </c>
      <c r="G430" s="5"/>
    </row>
    <row r="431" spans="2:7" ht="15.6" x14ac:dyDescent="0.3">
      <c r="B431" s="8">
        <v>426</v>
      </c>
      <c r="C431" s="5"/>
      <c r="D431" s="10"/>
      <c r="F431" s="8">
        <v>426</v>
      </c>
      <c r="G431" s="5"/>
    </row>
    <row r="432" spans="2:7" ht="15.6" x14ac:dyDescent="0.3">
      <c r="B432" s="8">
        <v>427</v>
      </c>
      <c r="C432" s="5"/>
      <c r="D432" s="10"/>
      <c r="F432" s="8">
        <v>427</v>
      </c>
      <c r="G432" s="5"/>
    </row>
    <row r="433" spans="2:7" ht="15.6" x14ac:dyDescent="0.3">
      <c r="B433" s="8">
        <v>428</v>
      </c>
      <c r="C433" s="5"/>
      <c r="D433" s="10"/>
      <c r="F433" s="8">
        <v>428</v>
      </c>
      <c r="G433" s="5"/>
    </row>
    <row r="434" spans="2:7" ht="15.6" x14ac:dyDescent="0.3">
      <c r="B434" s="8">
        <v>429</v>
      </c>
      <c r="C434" s="5"/>
      <c r="D434" s="10"/>
      <c r="F434" s="8">
        <v>429</v>
      </c>
      <c r="G434" s="5"/>
    </row>
    <row r="435" spans="2:7" ht="15.6" x14ac:dyDescent="0.3">
      <c r="B435" s="8">
        <v>430</v>
      </c>
      <c r="C435" s="5"/>
      <c r="D435" s="10"/>
      <c r="F435" s="8">
        <v>430</v>
      </c>
      <c r="G435" s="5"/>
    </row>
    <row r="436" spans="2:7" ht="15.6" x14ac:dyDescent="0.3">
      <c r="B436" s="8">
        <v>431</v>
      </c>
      <c r="C436" s="5"/>
      <c r="D436" s="10"/>
      <c r="F436" s="8">
        <v>431</v>
      </c>
      <c r="G436" s="5"/>
    </row>
    <row r="437" spans="2:7" ht="15.6" x14ac:dyDescent="0.3">
      <c r="B437" s="8">
        <v>432</v>
      </c>
      <c r="C437" s="5"/>
      <c r="D437" s="10"/>
      <c r="F437" s="8">
        <v>432</v>
      </c>
      <c r="G437" s="5"/>
    </row>
    <row r="438" spans="2:7" ht="15.6" x14ac:dyDescent="0.3">
      <c r="B438" s="8">
        <v>433</v>
      </c>
      <c r="C438" s="5"/>
      <c r="D438" s="10"/>
      <c r="F438" s="8">
        <v>433</v>
      </c>
      <c r="G438" s="5"/>
    </row>
    <row r="439" spans="2:7" ht="15.6" x14ac:dyDescent="0.3">
      <c r="B439" s="8">
        <v>434</v>
      </c>
      <c r="C439" s="5"/>
      <c r="D439" s="10"/>
      <c r="F439" s="8">
        <v>434</v>
      </c>
      <c r="G439" s="5"/>
    </row>
    <row r="440" spans="2:7" ht="15.6" x14ac:dyDescent="0.3">
      <c r="B440" s="8">
        <v>435</v>
      </c>
      <c r="C440" s="5"/>
      <c r="D440" s="10"/>
      <c r="F440" s="8">
        <v>435</v>
      </c>
      <c r="G440" s="5"/>
    </row>
    <row r="441" spans="2:7" ht="15.6" x14ac:dyDescent="0.3">
      <c r="B441" s="8">
        <v>436</v>
      </c>
      <c r="C441" s="5"/>
      <c r="D441" s="10"/>
      <c r="F441" s="8">
        <v>436</v>
      </c>
      <c r="G441" s="5"/>
    </row>
    <row r="442" spans="2:7" ht="15.6" x14ac:dyDescent="0.3">
      <c r="B442" s="8">
        <v>437</v>
      </c>
      <c r="C442" s="5"/>
      <c r="D442" s="10"/>
      <c r="F442" s="8">
        <v>437</v>
      </c>
      <c r="G442" s="5"/>
    </row>
    <row r="443" spans="2:7" ht="15.6" x14ac:dyDescent="0.3">
      <c r="B443" s="8">
        <v>438</v>
      </c>
      <c r="C443" s="5"/>
      <c r="D443" s="10"/>
      <c r="F443" s="8">
        <v>438</v>
      </c>
      <c r="G443" s="5"/>
    </row>
    <row r="444" spans="2:7" ht="15.6" x14ac:dyDescent="0.3">
      <c r="B444" s="8">
        <v>439</v>
      </c>
      <c r="C444" s="5"/>
      <c r="D444" s="10"/>
      <c r="F444" s="8">
        <v>439</v>
      </c>
      <c r="G444" s="5"/>
    </row>
    <row r="445" spans="2:7" ht="15.6" x14ac:dyDescent="0.3">
      <c r="B445" s="8">
        <v>440</v>
      </c>
      <c r="C445" s="5"/>
      <c r="D445" s="10"/>
      <c r="F445" s="8">
        <v>440</v>
      </c>
      <c r="G445" s="5"/>
    </row>
    <row r="446" spans="2:7" ht="15.6" x14ac:dyDescent="0.3">
      <c r="B446" s="8">
        <v>441</v>
      </c>
      <c r="C446" s="5"/>
      <c r="D446" s="10"/>
      <c r="F446" s="8">
        <v>441</v>
      </c>
      <c r="G446" s="5"/>
    </row>
    <row r="447" spans="2:7" ht="15.6" x14ac:dyDescent="0.3">
      <c r="B447" s="8">
        <v>442</v>
      </c>
      <c r="C447" s="5"/>
      <c r="D447" s="10"/>
      <c r="F447" s="8">
        <v>442</v>
      </c>
      <c r="G447" s="5"/>
    </row>
    <row r="448" spans="2:7" ht="15.6" x14ac:dyDescent="0.3">
      <c r="B448" s="8">
        <v>443</v>
      </c>
      <c r="C448" s="5"/>
      <c r="D448" s="10"/>
      <c r="F448" s="8">
        <v>443</v>
      </c>
      <c r="G448" s="5"/>
    </row>
    <row r="449" spans="2:7" ht="15.6" x14ac:dyDescent="0.3">
      <c r="B449" s="8">
        <v>444</v>
      </c>
      <c r="C449" s="5"/>
      <c r="D449" s="10"/>
      <c r="F449" s="8">
        <v>444</v>
      </c>
      <c r="G449" s="5"/>
    </row>
    <row r="450" spans="2:7" ht="15.6" x14ac:dyDescent="0.3">
      <c r="B450" s="8">
        <v>445</v>
      </c>
      <c r="C450" s="5"/>
      <c r="D450" s="10"/>
      <c r="F450" s="8">
        <v>445</v>
      </c>
      <c r="G450" s="5"/>
    </row>
    <row r="451" spans="2:7" ht="15.6" x14ac:dyDescent="0.3">
      <c r="B451" s="8">
        <v>446</v>
      </c>
      <c r="C451" s="5"/>
      <c r="D451" s="10"/>
      <c r="F451" s="8">
        <v>446</v>
      </c>
      <c r="G451" s="5"/>
    </row>
    <row r="452" spans="2:7" ht="15.6" x14ac:dyDescent="0.3">
      <c r="B452" s="8">
        <v>447</v>
      </c>
      <c r="C452" s="5"/>
      <c r="D452" s="10"/>
      <c r="F452" s="8">
        <v>447</v>
      </c>
      <c r="G452" s="5"/>
    </row>
    <row r="453" spans="2:7" ht="15.6" x14ac:dyDescent="0.3">
      <c r="B453" s="8">
        <v>448</v>
      </c>
      <c r="C453" s="5"/>
      <c r="D453" s="10"/>
      <c r="F453" s="8">
        <v>448</v>
      </c>
      <c r="G453" s="5"/>
    </row>
    <row r="454" spans="2:7" ht="15.6" x14ac:dyDescent="0.3">
      <c r="B454" s="8">
        <v>449</v>
      </c>
      <c r="C454" s="5">
        <v>0</v>
      </c>
      <c r="D454" s="10"/>
      <c r="F454" s="8">
        <v>449</v>
      </c>
      <c r="G454" s="5"/>
    </row>
    <row r="455" spans="2:7" ht="15.6" x14ac:dyDescent="0.3">
      <c r="B455" s="8">
        <v>450</v>
      </c>
      <c r="C455" s="5">
        <v>50</v>
      </c>
      <c r="D455" s="10">
        <v>50</v>
      </c>
      <c r="F455" s="8">
        <v>450</v>
      </c>
      <c r="G455" s="5"/>
    </row>
    <row r="456" spans="2:7" ht="15.6" x14ac:dyDescent="0.3">
      <c r="B456" s="8">
        <v>451</v>
      </c>
      <c r="C456" s="5"/>
      <c r="D456" s="10"/>
      <c r="F456" s="8">
        <v>451</v>
      </c>
      <c r="G456" s="5"/>
    </row>
    <row r="457" spans="2:7" ht="15.6" x14ac:dyDescent="0.3">
      <c r="B457" s="8">
        <v>452</v>
      </c>
      <c r="C457" s="5"/>
      <c r="D457" s="10"/>
      <c r="F457" s="8">
        <v>452</v>
      </c>
      <c r="G457" s="5"/>
    </row>
    <row r="458" spans="2:7" ht="15.6" x14ac:dyDescent="0.3">
      <c r="B458" s="8">
        <v>453</v>
      </c>
      <c r="C458" s="5"/>
      <c r="D458" s="10"/>
      <c r="F458" s="8">
        <v>453</v>
      </c>
      <c r="G458" s="5"/>
    </row>
    <row r="459" spans="2:7" ht="15.6" x14ac:dyDescent="0.3">
      <c r="B459" s="8">
        <v>454</v>
      </c>
      <c r="C459" s="5"/>
      <c r="D459" s="10"/>
      <c r="F459" s="8">
        <v>454</v>
      </c>
      <c r="G459" s="5"/>
    </row>
    <row r="460" spans="2:7" ht="15.6" x14ac:dyDescent="0.3">
      <c r="B460" s="8">
        <v>455</v>
      </c>
      <c r="C460" s="5"/>
      <c r="D460" s="10"/>
      <c r="F460" s="8">
        <v>455</v>
      </c>
      <c r="G460" s="5"/>
    </row>
    <row r="461" spans="2:7" ht="15.6" x14ac:dyDescent="0.3">
      <c r="B461" s="8">
        <v>456</v>
      </c>
      <c r="C461" s="5"/>
      <c r="D461" s="10"/>
      <c r="F461" s="8">
        <v>456</v>
      </c>
      <c r="G461" s="5"/>
    </row>
    <row r="462" spans="2:7" ht="15.6" x14ac:dyDescent="0.3">
      <c r="B462" s="8">
        <v>457</v>
      </c>
      <c r="C462" s="5"/>
      <c r="D462" s="10"/>
      <c r="F462" s="8">
        <v>457</v>
      </c>
      <c r="G462" s="5"/>
    </row>
    <row r="463" spans="2:7" ht="15.6" x14ac:dyDescent="0.3">
      <c r="B463" s="8">
        <v>458</v>
      </c>
      <c r="C463" s="5"/>
      <c r="D463" s="10"/>
      <c r="F463" s="8">
        <v>458</v>
      </c>
      <c r="G463" s="5"/>
    </row>
    <row r="464" spans="2:7" ht="15.6" x14ac:dyDescent="0.3">
      <c r="B464" s="8">
        <v>459</v>
      </c>
      <c r="C464" s="5"/>
      <c r="D464" s="10"/>
      <c r="F464" s="8">
        <v>459</v>
      </c>
      <c r="G464" s="5"/>
    </row>
    <row r="465" spans="2:7" ht="15.6" x14ac:dyDescent="0.3">
      <c r="B465" s="8">
        <v>460</v>
      </c>
      <c r="C465" s="5"/>
      <c r="D465" s="10"/>
      <c r="F465" s="8">
        <v>460</v>
      </c>
      <c r="G465" s="5"/>
    </row>
    <row r="466" spans="2:7" ht="15.6" x14ac:dyDescent="0.3">
      <c r="B466" s="8">
        <v>461</v>
      </c>
      <c r="C466" s="5">
        <v>50</v>
      </c>
      <c r="D466" s="10">
        <v>50</v>
      </c>
      <c r="F466" s="8">
        <v>461</v>
      </c>
      <c r="G466" s="5"/>
    </row>
    <row r="467" spans="2:7" ht="15.6" x14ac:dyDescent="0.3">
      <c r="B467" s="8">
        <v>462</v>
      </c>
      <c r="C467" s="5"/>
      <c r="D467" s="10"/>
      <c r="F467" s="8">
        <v>462</v>
      </c>
      <c r="G467" s="5"/>
    </row>
    <row r="468" spans="2:7" ht="15.6" x14ac:dyDescent="0.3">
      <c r="B468" s="8">
        <v>463</v>
      </c>
      <c r="C468" s="5"/>
      <c r="D468" s="10"/>
      <c r="F468" s="8">
        <v>463</v>
      </c>
      <c r="G468" s="5"/>
    </row>
    <row r="469" spans="2:7" ht="15.6" x14ac:dyDescent="0.3">
      <c r="B469" s="8">
        <v>464</v>
      </c>
      <c r="C469" s="5"/>
      <c r="D469" s="10"/>
      <c r="F469" s="8">
        <v>464</v>
      </c>
      <c r="G469" s="5"/>
    </row>
    <row r="470" spans="2:7" ht="15.6" x14ac:dyDescent="0.3">
      <c r="B470" s="8">
        <v>465</v>
      </c>
      <c r="C470" s="5"/>
      <c r="D470" s="10"/>
      <c r="F470" s="8">
        <v>465</v>
      </c>
      <c r="G470" s="5"/>
    </row>
    <row r="471" spans="2:7" ht="15.6" x14ac:dyDescent="0.3">
      <c r="B471" s="8">
        <v>466</v>
      </c>
      <c r="C471" s="5"/>
      <c r="D471" s="10"/>
      <c r="F471" s="8">
        <v>466</v>
      </c>
      <c r="G471" s="5"/>
    </row>
    <row r="472" spans="2:7" ht="15.6" x14ac:dyDescent="0.3">
      <c r="B472" s="8">
        <v>467</v>
      </c>
      <c r="C472" s="5">
        <v>50</v>
      </c>
      <c r="D472" s="10">
        <v>50</v>
      </c>
      <c r="F472" s="8">
        <v>467</v>
      </c>
      <c r="G472" s="5"/>
    </row>
    <row r="473" spans="2:7" ht="15.6" x14ac:dyDescent="0.3">
      <c r="B473" s="8">
        <v>468</v>
      </c>
      <c r="C473" s="5"/>
      <c r="D473" s="10"/>
      <c r="F473" s="8">
        <v>468</v>
      </c>
      <c r="G473" s="5"/>
    </row>
    <row r="474" spans="2:7" ht="15.6" x14ac:dyDescent="0.3">
      <c r="B474" s="8">
        <v>469</v>
      </c>
      <c r="C474" s="5"/>
      <c r="D474" s="10"/>
      <c r="F474" s="8">
        <v>469</v>
      </c>
      <c r="G474" s="5"/>
    </row>
    <row r="475" spans="2:7" ht="15.6" x14ac:dyDescent="0.3">
      <c r="B475" s="8">
        <v>470</v>
      </c>
      <c r="C475" s="5"/>
      <c r="D475" s="10"/>
      <c r="F475" s="8">
        <v>470</v>
      </c>
      <c r="G475" s="5"/>
    </row>
    <row r="476" spans="2:7" ht="15.6" x14ac:dyDescent="0.3">
      <c r="B476" s="8">
        <v>471</v>
      </c>
      <c r="C476" s="5"/>
      <c r="D476" s="10"/>
      <c r="F476" s="8">
        <v>471</v>
      </c>
      <c r="G476" s="5"/>
    </row>
    <row r="477" spans="2:7" ht="15.6" x14ac:dyDescent="0.3">
      <c r="B477" s="8">
        <v>472</v>
      </c>
      <c r="C477" s="5"/>
      <c r="D477" s="10"/>
      <c r="F477" s="8">
        <v>472</v>
      </c>
      <c r="G477" s="5"/>
    </row>
    <row r="478" spans="2:7" ht="15.6" x14ac:dyDescent="0.3">
      <c r="B478" s="8">
        <v>473</v>
      </c>
      <c r="C478" s="5"/>
      <c r="D478" s="10"/>
      <c r="F478" s="8">
        <v>473</v>
      </c>
      <c r="G478" s="5"/>
    </row>
    <row r="479" spans="2:7" ht="15.6" x14ac:dyDescent="0.3">
      <c r="B479" s="8">
        <v>474</v>
      </c>
      <c r="C479" s="5"/>
      <c r="D479" s="10"/>
      <c r="F479" s="8">
        <v>474</v>
      </c>
      <c r="G479" s="5"/>
    </row>
    <row r="480" spans="2:7" ht="15.6" x14ac:dyDescent="0.3">
      <c r="B480" s="8">
        <v>475</v>
      </c>
      <c r="C480" s="5"/>
      <c r="D480" s="10"/>
      <c r="F480" s="8">
        <v>475</v>
      </c>
      <c r="G480" s="5"/>
    </row>
    <row r="481" spans="2:7" ht="15.6" x14ac:dyDescent="0.3">
      <c r="B481" s="8">
        <v>476</v>
      </c>
      <c r="C481" s="5"/>
      <c r="D481" s="10"/>
      <c r="F481" s="8">
        <v>476</v>
      </c>
      <c r="G481" s="5"/>
    </row>
    <row r="482" spans="2:7" ht="15.6" x14ac:dyDescent="0.3">
      <c r="B482" s="8">
        <v>477</v>
      </c>
      <c r="C482" s="5"/>
      <c r="D482" s="10"/>
      <c r="F482" s="8">
        <v>477</v>
      </c>
      <c r="G482" s="5"/>
    </row>
    <row r="483" spans="2:7" ht="15.6" x14ac:dyDescent="0.3">
      <c r="B483" s="8">
        <v>478</v>
      </c>
      <c r="C483" s="5">
        <v>100</v>
      </c>
      <c r="D483" s="10">
        <v>100</v>
      </c>
      <c r="F483" s="8">
        <v>478</v>
      </c>
      <c r="G483" s="5"/>
    </row>
    <row r="484" spans="2:7" ht="15.6" x14ac:dyDescent="0.3">
      <c r="B484" s="8">
        <v>479</v>
      </c>
      <c r="C484" s="5">
        <v>100</v>
      </c>
      <c r="D484" s="10">
        <v>100</v>
      </c>
      <c r="F484" s="8">
        <v>479</v>
      </c>
      <c r="G484" s="5"/>
    </row>
    <row r="485" spans="2:7" ht="15.6" x14ac:dyDescent="0.3">
      <c r="B485" s="8">
        <v>480</v>
      </c>
      <c r="C485" s="5"/>
      <c r="D485" s="10"/>
      <c r="F485" s="8">
        <v>480</v>
      </c>
      <c r="G485" s="5"/>
    </row>
    <row r="486" spans="2:7" ht="15.6" x14ac:dyDescent="0.3">
      <c r="B486" s="8">
        <v>481</v>
      </c>
      <c r="C486" s="5"/>
      <c r="D486" s="10"/>
      <c r="F486" s="8">
        <v>481</v>
      </c>
      <c r="G486" s="5"/>
    </row>
    <row r="487" spans="2:7" ht="15.6" x14ac:dyDescent="0.3">
      <c r="B487" s="8">
        <v>482</v>
      </c>
      <c r="C487" s="5"/>
      <c r="D487" s="10"/>
      <c r="F487" s="8">
        <v>482</v>
      </c>
      <c r="G487" s="5"/>
    </row>
    <row r="488" spans="2:7" ht="15.6" x14ac:dyDescent="0.3">
      <c r="B488" s="8">
        <v>483</v>
      </c>
      <c r="C488" s="5"/>
      <c r="D488" s="10"/>
      <c r="F488" s="8">
        <v>483</v>
      </c>
      <c r="G488" s="5"/>
    </row>
    <row r="489" spans="2:7" ht="15.6" x14ac:dyDescent="0.3">
      <c r="B489" s="8">
        <v>484</v>
      </c>
      <c r="C489" s="5"/>
      <c r="D489" s="10"/>
      <c r="F489" s="8">
        <v>484</v>
      </c>
      <c r="G489" s="5"/>
    </row>
    <row r="490" spans="2:7" ht="15.6" x14ac:dyDescent="0.3">
      <c r="B490" s="8">
        <v>485</v>
      </c>
      <c r="C490" s="5"/>
      <c r="D490" s="10"/>
      <c r="F490" s="8">
        <v>485</v>
      </c>
      <c r="G490" s="5"/>
    </row>
    <row r="491" spans="2:7" ht="15.6" x14ac:dyDescent="0.3">
      <c r="B491" s="8">
        <v>486</v>
      </c>
      <c r="C491" s="5"/>
      <c r="D491" s="10"/>
      <c r="F491" s="8">
        <v>486</v>
      </c>
      <c r="G491" s="5"/>
    </row>
    <row r="492" spans="2:7" ht="15.6" x14ac:dyDescent="0.3">
      <c r="B492" s="8">
        <v>487</v>
      </c>
      <c r="C492" s="5"/>
      <c r="D492" s="10"/>
      <c r="F492" s="8">
        <v>487</v>
      </c>
      <c r="G492" s="5"/>
    </row>
    <row r="493" spans="2:7" ht="15.6" x14ac:dyDescent="0.3">
      <c r="B493" s="8">
        <v>488</v>
      </c>
      <c r="C493" s="5"/>
      <c r="D493" s="10"/>
      <c r="F493" s="8">
        <v>488</v>
      </c>
      <c r="G493" s="5"/>
    </row>
    <row r="494" spans="2:7" ht="15.6" x14ac:dyDescent="0.3">
      <c r="B494" s="8">
        <v>489</v>
      </c>
      <c r="C494" s="5"/>
      <c r="D494" s="10"/>
      <c r="F494" s="8">
        <v>489</v>
      </c>
      <c r="G494" s="5"/>
    </row>
    <row r="495" spans="2:7" ht="15.6" x14ac:dyDescent="0.3">
      <c r="B495" s="8">
        <v>490</v>
      </c>
      <c r="C495" s="5"/>
      <c r="D495" s="10"/>
      <c r="F495" s="8">
        <v>490</v>
      </c>
      <c r="G495" s="5"/>
    </row>
    <row r="496" spans="2:7" ht="15.6" x14ac:dyDescent="0.3">
      <c r="B496" s="8">
        <v>491</v>
      </c>
      <c r="C496" s="5"/>
      <c r="D496" s="10"/>
      <c r="F496" s="8">
        <v>491</v>
      </c>
      <c r="G496" s="5"/>
    </row>
    <row r="497" spans="2:7" ht="15.6" x14ac:dyDescent="0.3">
      <c r="B497" s="8">
        <v>492</v>
      </c>
      <c r="C497" s="5"/>
      <c r="D497" s="10"/>
      <c r="F497" s="8">
        <v>492</v>
      </c>
      <c r="G497" s="5"/>
    </row>
    <row r="498" spans="2:7" ht="15.6" x14ac:dyDescent="0.3">
      <c r="B498" s="8">
        <v>493</v>
      </c>
      <c r="C498" s="5"/>
      <c r="D498" s="10"/>
      <c r="F498" s="8">
        <v>493</v>
      </c>
      <c r="G498" s="5"/>
    </row>
    <row r="499" spans="2:7" ht="15.6" x14ac:dyDescent="0.3">
      <c r="B499" s="8">
        <v>494</v>
      </c>
      <c r="C499" s="5">
        <v>0</v>
      </c>
      <c r="D499" s="10"/>
      <c r="F499" s="8">
        <v>494</v>
      </c>
      <c r="G499" s="5"/>
    </row>
    <row r="500" spans="2:7" ht="15.6" x14ac:dyDescent="0.3">
      <c r="B500" s="8">
        <v>495</v>
      </c>
      <c r="C500" s="5"/>
      <c r="D500" s="10"/>
      <c r="F500" s="8">
        <v>495</v>
      </c>
      <c r="G500" s="5"/>
    </row>
    <row r="501" spans="2:7" ht="15.6" x14ac:dyDescent="0.3">
      <c r="B501" s="8">
        <v>496</v>
      </c>
      <c r="C501" s="5"/>
      <c r="D501" s="10"/>
      <c r="F501" s="8">
        <v>496</v>
      </c>
      <c r="G501" s="5"/>
    </row>
    <row r="502" spans="2:7" ht="15.6" x14ac:dyDescent="0.3">
      <c r="B502" s="8">
        <v>497</v>
      </c>
      <c r="C502" s="5"/>
      <c r="D502" s="10"/>
      <c r="F502" s="8">
        <v>497</v>
      </c>
      <c r="G502" s="5"/>
    </row>
    <row r="503" spans="2:7" ht="15.6" x14ac:dyDescent="0.3">
      <c r="B503" s="8">
        <v>498</v>
      </c>
      <c r="C503" s="5"/>
      <c r="D503" s="10"/>
      <c r="F503" s="8">
        <v>498</v>
      </c>
      <c r="G503" s="5"/>
    </row>
    <row r="504" spans="2:7" ht="15.6" x14ac:dyDescent="0.3">
      <c r="B504" s="8">
        <v>499</v>
      </c>
      <c r="C504" s="5"/>
      <c r="D504" s="10"/>
      <c r="F504" s="8">
        <v>499</v>
      </c>
      <c r="G504" s="5"/>
    </row>
    <row r="505" spans="2:7" ht="15.6" x14ac:dyDescent="0.3">
      <c r="B505" s="8">
        <v>500</v>
      </c>
      <c r="C505" s="5"/>
      <c r="D505" s="10"/>
      <c r="F505" s="8">
        <v>500</v>
      </c>
      <c r="G505" s="5"/>
    </row>
    <row r="506" spans="2:7" ht="15.6" x14ac:dyDescent="0.3">
      <c r="B506" s="8">
        <v>501</v>
      </c>
      <c r="C506" s="5"/>
      <c r="D506" s="10"/>
      <c r="F506" s="8">
        <v>501</v>
      </c>
      <c r="G506" s="5"/>
    </row>
    <row r="507" spans="2:7" ht="15.6" x14ac:dyDescent="0.3">
      <c r="B507" s="8">
        <v>502</v>
      </c>
      <c r="C507" s="5"/>
      <c r="D507" s="10"/>
      <c r="F507" s="8">
        <v>502</v>
      </c>
      <c r="G507" s="5"/>
    </row>
    <row r="508" spans="2:7" ht="15.6" x14ac:dyDescent="0.3">
      <c r="B508" s="8">
        <v>503</v>
      </c>
      <c r="C508" s="5"/>
      <c r="D508" s="10"/>
      <c r="F508" s="8">
        <v>503</v>
      </c>
      <c r="G508" s="5"/>
    </row>
    <row r="509" spans="2:7" ht="15.6" x14ac:dyDescent="0.3">
      <c r="B509" s="8">
        <v>504</v>
      </c>
      <c r="C509" s="5"/>
      <c r="D509" s="10"/>
      <c r="F509" s="8">
        <v>504</v>
      </c>
      <c r="G509" s="5"/>
    </row>
    <row r="510" spans="2:7" ht="15.6" x14ac:dyDescent="0.3">
      <c r="B510" s="8">
        <v>505</v>
      </c>
      <c r="C510" s="5"/>
      <c r="D510" s="10"/>
      <c r="F510" s="8">
        <v>505</v>
      </c>
      <c r="G510" s="5"/>
    </row>
    <row r="511" spans="2:7" ht="15.6" x14ac:dyDescent="0.3">
      <c r="B511" s="8">
        <v>506</v>
      </c>
      <c r="C511" s="5"/>
      <c r="D511" s="10"/>
      <c r="F511" s="8">
        <v>506</v>
      </c>
      <c r="G511" s="5"/>
    </row>
    <row r="512" spans="2:7" ht="15.6" x14ac:dyDescent="0.3">
      <c r="B512" s="8">
        <v>507</v>
      </c>
      <c r="C512" s="5"/>
      <c r="D512" s="10"/>
      <c r="F512" s="8">
        <v>507</v>
      </c>
      <c r="G512" s="5"/>
    </row>
    <row r="513" spans="2:7" ht="15.6" x14ac:dyDescent="0.3">
      <c r="B513" s="8">
        <v>508</v>
      </c>
      <c r="C513" s="5"/>
      <c r="D513" s="10"/>
      <c r="F513" s="8">
        <v>508</v>
      </c>
      <c r="G513" s="5"/>
    </row>
    <row r="514" spans="2:7" ht="15.6" x14ac:dyDescent="0.3">
      <c r="B514" s="8">
        <v>509</v>
      </c>
      <c r="C514" s="5">
        <v>50</v>
      </c>
      <c r="D514" s="10"/>
      <c r="F514" s="8">
        <v>509</v>
      </c>
      <c r="G514" s="5"/>
    </row>
    <row r="515" spans="2:7" ht="15.6" x14ac:dyDescent="0.3">
      <c r="B515" s="8">
        <v>510</v>
      </c>
      <c r="C515" s="5"/>
      <c r="D515" s="10"/>
      <c r="F515" s="8">
        <v>510</v>
      </c>
      <c r="G515" s="5"/>
    </row>
    <row r="516" spans="2:7" ht="15.6" x14ac:dyDescent="0.3">
      <c r="B516" s="8">
        <v>511</v>
      </c>
      <c r="C516" s="5"/>
      <c r="D516" s="10"/>
      <c r="F516" s="8">
        <v>511</v>
      </c>
      <c r="G516" s="5"/>
    </row>
    <row r="517" spans="2:7" ht="15.6" x14ac:dyDescent="0.3">
      <c r="B517" s="8">
        <v>512</v>
      </c>
      <c r="C517" s="5"/>
      <c r="D517" s="10"/>
      <c r="F517" s="8">
        <v>512</v>
      </c>
      <c r="G517" s="5"/>
    </row>
    <row r="518" spans="2:7" ht="15.6" x14ac:dyDescent="0.3">
      <c r="B518" s="8">
        <v>513</v>
      </c>
      <c r="C518" s="5"/>
      <c r="D518" s="10"/>
      <c r="F518" s="8">
        <v>513</v>
      </c>
      <c r="G518" s="5"/>
    </row>
    <row r="519" spans="2:7" ht="15.6" x14ac:dyDescent="0.3">
      <c r="B519" s="8">
        <v>514</v>
      </c>
      <c r="C519" s="5"/>
      <c r="D519" s="10"/>
      <c r="F519" s="8">
        <v>514</v>
      </c>
      <c r="G519" s="5"/>
    </row>
    <row r="520" spans="2:7" ht="15.6" x14ac:dyDescent="0.3">
      <c r="B520" s="8">
        <v>515</v>
      </c>
      <c r="C520" s="5"/>
      <c r="D520" s="10"/>
      <c r="F520" s="8">
        <v>515</v>
      </c>
      <c r="G520" s="5"/>
    </row>
    <row r="521" spans="2:7" ht="15.6" x14ac:dyDescent="0.3">
      <c r="B521" s="8">
        <v>516</v>
      </c>
      <c r="C521" s="5"/>
      <c r="D521" s="10"/>
      <c r="F521" s="8">
        <v>516</v>
      </c>
      <c r="G521" s="5"/>
    </row>
    <row r="522" spans="2:7" ht="15.6" x14ac:dyDescent="0.3">
      <c r="B522" s="8">
        <v>517</v>
      </c>
      <c r="C522" s="5"/>
      <c r="D522" s="10"/>
      <c r="F522" s="8">
        <v>517</v>
      </c>
      <c r="G522" s="5"/>
    </row>
    <row r="523" spans="2:7" ht="15.6" x14ac:dyDescent="0.3">
      <c r="B523" s="8">
        <v>518</v>
      </c>
      <c r="C523" s="5">
        <v>50</v>
      </c>
      <c r="D523" s="10">
        <v>50</v>
      </c>
      <c r="F523" s="8">
        <v>518</v>
      </c>
      <c r="G523" s="5"/>
    </row>
    <row r="524" spans="2:7" ht="15.6" x14ac:dyDescent="0.3">
      <c r="B524" s="8">
        <v>519</v>
      </c>
      <c r="C524" s="5"/>
      <c r="D524" s="10"/>
      <c r="F524" s="8">
        <v>519</v>
      </c>
      <c r="G524" s="5"/>
    </row>
    <row r="525" spans="2:7" ht="15.6" x14ac:dyDescent="0.3">
      <c r="B525" s="8">
        <v>520</v>
      </c>
      <c r="C525" s="5"/>
      <c r="D525" s="10"/>
      <c r="F525" s="8">
        <v>520</v>
      </c>
      <c r="G525" s="5"/>
    </row>
    <row r="526" spans="2:7" ht="15.6" x14ac:dyDescent="0.3">
      <c r="B526" s="8">
        <v>521</v>
      </c>
      <c r="C526" s="5">
        <v>100</v>
      </c>
      <c r="D526" s="10">
        <v>100</v>
      </c>
      <c r="F526" s="8">
        <v>521</v>
      </c>
      <c r="G526" s="5"/>
    </row>
    <row r="527" spans="2:7" ht="15.6" x14ac:dyDescent="0.3">
      <c r="B527" s="8">
        <v>522</v>
      </c>
      <c r="C527" s="5"/>
      <c r="D527" s="10"/>
      <c r="F527" s="8">
        <v>522</v>
      </c>
      <c r="G527" s="5"/>
    </row>
    <row r="528" spans="2:7" ht="15.6" x14ac:dyDescent="0.3">
      <c r="B528" s="8">
        <v>523</v>
      </c>
      <c r="C528" s="5"/>
      <c r="D528" s="10"/>
      <c r="F528" s="8">
        <v>523</v>
      </c>
      <c r="G528" s="5"/>
    </row>
    <row r="529" spans="2:7" ht="15.6" x14ac:dyDescent="0.3">
      <c r="B529" s="8">
        <v>524</v>
      </c>
      <c r="C529" s="5"/>
      <c r="D529" s="10"/>
      <c r="F529" s="8">
        <v>524</v>
      </c>
      <c r="G529" s="5"/>
    </row>
    <row r="530" spans="2:7" ht="15.6" x14ac:dyDescent="0.3">
      <c r="B530" s="8">
        <v>525</v>
      </c>
      <c r="C530" s="5"/>
      <c r="D530" s="10"/>
      <c r="F530" s="8">
        <v>525</v>
      </c>
      <c r="G530" s="5"/>
    </row>
    <row r="531" spans="2:7" ht="15.6" x14ac:dyDescent="0.3">
      <c r="B531" s="8">
        <v>526</v>
      </c>
      <c r="C531" s="5">
        <v>50</v>
      </c>
      <c r="D531" s="10">
        <v>50</v>
      </c>
      <c r="F531" s="8">
        <v>526</v>
      </c>
      <c r="G531" s="5"/>
    </row>
    <row r="532" spans="2:7" ht="15.6" x14ac:dyDescent="0.3">
      <c r="B532" s="8">
        <v>527</v>
      </c>
      <c r="C532" s="5"/>
      <c r="D532" s="10"/>
      <c r="F532" s="8">
        <v>527</v>
      </c>
      <c r="G532" s="5"/>
    </row>
    <row r="533" spans="2:7" ht="15.6" x14ac:dyDescent="0.3">
      <c r="B533" s="8">
        <v>528</v>
      </c>
      <c r="C533" s="5">
        <v>20</v>
      </c>
      <c r="D533" s="10">
        <v>20</v>
      </c>
      <c r="F533" s="8">
        <v>528</v>
      </c>
      <c r="G533" s="5"/>
    </row>
    <row r="534" spans="2:7" ht="15.6" x14ac:dyDescent="0.3">
      <c r="B534" s="8">
        <v>529</v>
      </c>
      <c r="C534" s="5"/>
      <c r="D534" s="10"/>
      <c r="F534" s="8">
        <v>529</v>
      </c>
      <c r="G534" s="5"/>
    </row>
    <row r="535" spans="2:7" ht="15.6" x14ac:dyDescent="0.3">
      <c r="B535" s="8">
        <v>530</v>
      </c>
      <c r="C535" s="5"/>
      <c r="D535" s="10"/>
      <c r="F535" s="8">
        <v>530</v>
      </c>
      <c r="G535" s="5"/>
    </row>
    <row r="536" spans="2:7" ht="15.6" x14ac:dyDescent="0.3">
      <c r="B536" s="8">
        <v>531</v>
      </c>
      <c r="C536" s="5"/>
      <c r="D536" s="10"/>
      <c r="F536" s="8">
        <v>531</v>
      </c>
      <c r="G536" s="5"/>
    </row>
    <row r="537" spans="2:7" ht="15.6" x14ac:dyDescent="0.3">
      <c r="B537" s="8">
        <v>532</v>
      </c>
      <c r="C537" s="5"/>
      <c r="D537" s="10"/>
      <c r="F537" s="8">
        <v>532</v>
      </c>
      <c r="G537" s="5"/>
    </row>
    <row r="538" spans="2:7" ht="15.6" x14ac:dyDescent="0.3">
      <c r="B538" s="8">
        <v>533</v>
      </c>
      <c r="C538" s="5"/>
      <c r="D538" s="10"/>
      <c r="F538" s="8">
        <v>533</v>
      </c>
      <c r="G538" s="5"/>
    </row>
    <row r="539" spans="2:7" ht="15.6" x14ac:dyDescent="0.3">
      <c r="B539" s="8">
        <v>534</v>
      </c>
      <c r="C539" s="5"/>
      <c r="D539" s="10"/>
      <c r="F539" s="8">
        <v>534</v>
      </c>
      <c r="G539" s="5"/>
    </row>
    <row r="540" spans="2:7" ht="15.6" x14ac:dyDescent="0.3">
      <c r="B540" s="8">
        <v>535</v>
      </c>
      <c r="C540" s="5"/>
      <c r="D540" s="10"/>
      <c r="F540" s="8">
        <v>535</v>
      </c>
      <c r="G540" s="5"/>
    </row>
    <row r="541" spans="2:7" ht="15.6" x14ac:dyDescent="0.3">
      <c r="B541" s="8">
        <v>536</v>
      </c>
      <c r="C541" s="5"/>
      <c r="D541" s="10"/>
      <c r="F541" s="8">
        <v>536</v>
      </c>
      <c r="G541" s="5"/>
    </row>
    <row r="542" spans="2:7" ht="15.6" x14ac:dyDescent="0.3">
      <c r="B542" s="8">
        <v>537</v>
      </c>
      <c r="C542" s="5"/>
      <c r="D542" s="10"/>
      <c r="F542" s="8">
        <v>537</v>
      </c>
      <c r="G542" s="5"/>
    </row>
    <row r="543" spans="2:7" ht="15.6" x14ac:dyDescent="0.3">
      <c r="B543" s="8">
        <v>538</v>
      </c>
      <c r="C543" s="5">
        <v>100</v>
      </c>
      <c r="D543" s="10">
        <v>200</v>
      </c>
      <c r="F543" s="8">
        <v>538</v>
      </c>
      <c r="G543" s="5"/>
    </row>
    <row r="544" spans="2:7" ht="15.6" x14ac:dyDescent="0.3">
      <c r="B544" s="8">
        <v>539</v>
      </c>
      <c r="C544" s="5"/>
      <c r="D544" s="10"/>
      <c r="F544" s="8">
        <v>539</v>
      </c>
      <c r="G544" s="5"/>
    </row>
    <row r="545" spans="2:7" ht="15.6" x14ac:dyDescent="0.3">
      <c r="B545" s="8">
        <v>540</v>
      </c>
      <c r="C545" s="5"/>
      <c r="D545" s="10"/>
      <c r="F545" s="8">
        <v>540</v>
      </c>
      <c r="G545" s="5"/>
    </row>
    <row r="546" spans="2:7" ht="15.6" x14ac:dyDescent="0.3">
      <c r="B546" s="8">
        <v>541</v>
      </c>
      <c r="C546" s="5"/>
      <c r="D546" s="10"/>
      <c r="F546" s="8">
        <v>541</v>
      </c>
      <c r="G546" s="5"/>
    </row>
    <row r="547" spans="2:7" ht="15.6" x14ac:dyDescent="0.3">
      <c r="B547" s="8">
        <v>542</v>
      </c>
      <c r="C547" s="5"/>
      <c r="D547" s="10"/>
      <c r="F547" s="8">
        <v>542</v>
      </c>
      <c r="G547" s="5"/>
    </row>
    <row r="548" spans="2:7" ht="15.6" x14ac:dyDescent="0.3">
      <c r="B548" s="8">
        <v>543</v>
      </c>
      <c r="C548" s="5">
        <v>300</v>
      </c>
      <c r="D548" s="10">
        <v>300</v>
      </c>
      <c r="F548" s="8">
        <v>543</v>
      </c>
      <c r="G548" s="5"/>
    </row>
    <row r="549" spans="2:7" ht="15.6" x14ac:dyDescent="0.3">
      <c r="B549" s="8">
        <v>544</v>
      </c>
      <c r="C549" s="5"/>
      <c r="D549" s="10"/>
      <c r="F549" s="8">
        <v>544</v>
      </c>
      <c r="G549" s="5"/>
    </row>
    <row r="550" spans="2:7" ht="15.6" x14ac:dyDescent="0.3">
      <c r="B550" s="8">
        <v>545</v>
      </c>
      <c r="C550" s="5"/>
      <c r="D550" s="10"/>
      <c r="F550" s="8">
        <v>545</v>
      </c>
      <c r="G550" s="5"/>
    </row>
    <row r="551" spans="2:7" ht="15.6" x14ac:dyDescent="0.3">
      <c r="B551" s="8">
        <v>546</v>
      </c>
      <c r="C551" s="5">
        <v>50</v>
      </c>
      <c r="D551" s="10">
        <v>100</v>
      </c>
      <c r="F551" s="8">
        <v>546</v>
      </c>
      <c r="G551" s="5"/>
    </row>
    <row r="552" spans="2:7" ht="15.6" x14ac:dyDescent="0.3">
      <c r="B552" s="8">
        <v>547</v>
      </c>
      <c r="C552" s="5"/>
      <c r="D552" s="10"/>
      <c r="F552" s="8">
        <v>547</v>
      </c>
      <c r="G552" s="5"/>
    </row>
    <row r="553" spans="2:7" ht="15.6" x14ac:dyDescent="0.3">
      <c r="B553" s="8">
        <v>548</v>
      </c>
      <c r="C553" s="5"/>
      <c r="D553" s="10"/>
      <c r="F553" s="8">
        <v>548</v>
      </c>
      <c r="G553" s="5"/>
    </row>
    <row r="554" spans="2:7" ht="15.6" x14ac:dyDescent="0.3">
      <c r="B554" s="8">
        <v>549</v>
      </c>
      <c r="C554" s="5"/>
      <c r="D554" s="10"/>
      <c r="F554" s="8">
        <v>549</v>
      </c>
      <c r="G554" s="5">
        <v>250</v>
      </c>
    </row>
    <row r="555" spans="2:7" ht="15.6" x14ac:dyDescent="0.3">
      <c r="B555" s="8">
        <v>550</v>
      </c>
      <c r="C555" s="5"/>
      <c r="D555" s="10"/>
      <c r="F555" s="8">
        <v>550</v>
      </c>
      <c r="G555" s="5"/>
    </row>
    <row r="556" spans="2:7" ht="15.6" x14ac:dyDescent="0.3">
      <c r="B556" s="8">
        <v>551</v>
      </c>
      <c r="C556" s="5"/>
      <c r="D556" s="10"/>
      <c r="F556" s="8">
        <v>551</v>
      </c>
      <c r="G556" s="5"/>
    </row>
    <row r="557" spans="2:7" ht="15.6" x14ac:dyDescent="0.3">
      <c r="B557" s="8">
        <v>552</v>
      </c>
      <c r="C557" s="5"/>
      <c r="D557" s="10"/>
      <c r="F557" s="8">
        <v>552</v>
      </c>
      <c r="G557" s="5"/>
    </row>
    <row r="558" spans="2:7" ht="15.6" x14ac:dyDescent="0.3">
      <c r="B558" s="8">
        <v>553</v>
      </c>
      <c r="C558" s="5"/>
      <c r="D558" s="10"/>
      <c r="F558" s="8">
        <v>553</v>
      </c>
      <c r="G558" s="5"/>
    </row>
    <row r="559" spans="2:7" ht="15.6" x14ac:dyDescent="0.3">
      <c r="B559" s="8">
        <v>554</v>
      </c>
      <c r="C559" s="5"/>
      <c r="D559" s="10"/>
      <c r="F559" s="8">
        <v>554</v>
      </c>
      <c r="G559" s="5"/>
    </row>
    <row r="560" spans="2:7" ht="15.6" x14ac:dyDescent="0.3">
      <c r="B560" s="8">
        <v>555</v>
      </c>
      <c r="C560" s="5"/>
      <c r="D560" s="10"/>
      <c r="F560" s="8">
        <v>555</v>
      </c>
      <c r="G560" s="5"/>
    </row>
    <row r="561" spans="2:7" ht="15.6" x14ac:dyDescent="0.3">
      <c r="B561" s="8">
        <v>556</v>
      </c>
      <c r="C561" s="5"/>
      <c r="D561" s="10"/>
      <c r="F561" s="8">
        <v>556</v>
      </c>
      <c r="G561" s="5"/>
    </row>
    <row r="562" spans="2:7" ht="15.6" x14ac:dyDescent="0.3">
      <c r="B562" s="8">
        <v>557</v>
      </c>
      <c r="C562" s="5"/>
      <c r="D562" s="10"/>
      <c r="F562" s="8">
        <v>557</v>
      </c>
      <c r="G562" s="5"/>
    </row>
    <row r="563" spans="2:7" ht="15.6" x14ac:dyDescent="0.3">
      <c r="B563" s="8">
        <v>558</v>
      </c>
      <c r="C563" s="5"/>
      <c r="D563" s="10"/>
      <c r="F563" s="8">
        <v>558</v>
      </c>
      <c r="G563" s="5"/>
    </row>
    <row r="564" spans="2:7" ht="15.6" x14ac:dyDescent="0.3">
      <c r="B564" s="8">
        <v>559</v>
      </c>
      <c r="C564" s="5"/>
      <c r="D564" s="10"/>
      <c r="F564" s="8">
        <v>559</v>
      </c>
      <c r="G564" s="5"/>
    </row>
    <row r="565" spans="2:7" ht="15.6" x14ac:dyDescent="0.3">
      <c r="B565" s="8">
        <v>560</v>
      </c>
      <c r="C565" s="5"/>
      <c r="D565" s="10"/>
      <c r="F565" s="8">
        <v>560</v>
      </c>
      <c r="G565" s="5"/>
    </row>
    <row r="566" spans="2:7" ht="15.6" x14ac:dyDescent="0.3">
      <c r="B566" s="8">
        <v>561</v>
      </c>
      <c r="C566" s="5"/>
      <c r="D566" s="10"/>
      <c r="F566" s="8">
        <v>561</v>
      </c>
      <c r="G566" s="5"/>
    </row>
    <row r="567" spans="2:7" ht="15.6" x14ac:dyDescent="0.3">
      <c r="B567" s="8">
        <v>562</v>
      </c>
      <c r="C567" s="5"/>
      <c r="D567" s="10"/>
      <c r="F567" s="8">
        <v>562</v>
      </c>
      <c r="G567" s="5"/>
    </row>
    <row r="568" spans="2:7" ht="15.6" x14ac:dyDescent="0.3">
      <c r="B568" s="8">
        <v>563</v>
      </c>
      <c r="C568" s="5">
        <v>100</v>
      </c>
      <c r="D568" s="10">
        <v>100</v>
      </c>
      <c r="F568" s="8">
        <v>563</v>
      </c>
      <c r="G568" s="5"/>
    </row>
    <row r="569" spans="2:7" ht="15.6" x14ac:dyDescent="0.3">
      <c r="B569" s="8">
        <v>564</v>
      </c>
      <c r="C569" s="5"/>
      <c r="D569" s="10"/>
      <c r="F569" s="8">
        <v>564</v>
      </c>
      <c r="G569" s="5"/>
    </row>
    <row r="570" spans="2:7" ht="15.6" x14ac:dyDescent="0.3">
      <c r="B570" s="8">
        <v>565</v>
      </c>
      <c r="C570" s="5"/>
      <c r="D570" s="10"/>
      <c r="F570" s="8">
        <v>565</v>
      </c>
      <c r="G570" s="5"/>
    </row>
    <row r="571" spans="2:7" ht="15.6" x14ac:dyDescent="0.3">
      <c r="B571" s="8">
        <v>566</v>
      </c>
      <c r="C571" s="5"/>
      <c r="D571" s="10"/>
      <c r="F571" s="8">
        <v>566</v>
      </c>
      <c r="G571" s="5"/>
    </row>
    <row r="572" spans="2:7" ht="15.6" x14ac:dyDescent="0.3">
      <c r="B572" s="8">
        <v>567</v>
      </c>
      <c r="C572" s="5"/>
      <c r="D572" s="10"/>
      <c r="F572" s="8">
        <v>567</v>
      </c>
      <c r="G572" s="5"/>
    </row>
    <row r="573" spans="2:7" ht="15.6" x14ac:dyDescent="0.3">
      <c r="B573" s="8">
        <v>568</v>
      </c>
      <c r="C573" s="5">
        <v>50</v>
      </c>
      <c r="D573" s="10">
        <v>50</v>
      </c>
      <c r="F573" s="8">
        <v>568</v>
      </c>
      <c r="G573" s="5"/>
    </row>
    <row r="574" spans="2:7" ht="15.6" x14ac:dyDescent="0.3">
      <c r="B574" s="8">
        <v>569</v>
      </c>
      <c r="C574" s="5">
        <v>50</v>
      </c>
      <c r="D574" s="10"/>
      <c r="F574" s="8">
        <v>569</v>
      </c>
      <c r="G574" s="5"/>
    </row>
    <row r="575" spans="2:7" ht="15.6" x14ac:dyDescent="0.3">
      <c r="B575" s="8">
        <v>570</v>
      </c>
      <c r="C575" s="5"/>
      <c r="D575" s="10"/>
      <c r="F575" s="8">
        <v>570</v>
      </c>
      <c r="G575" s="5"/>
    </row>
    <row r="576" spans="2:7" ht="15.6" x14ac:dyDescent="0.3">
      <c r="B576" s="8">
        <v>571</v>
      </c>
      <c r="C576" s="5"/>
      <c r="D576" s="10"/>
      <c r="F576" s="8">
        <v>571</v>
      </c>
      <c r="G576" s="5"/>
    </row>
    <row r="577" spans="2:7" ht="15.6" x14ac:dyDescent="0.3">
      <c r="B577" s="8">
        <v>572</v>
      </c>
      <c r="C577" s="5"/>
      <c r="D577" s="10"/>
      <c r="F577" s="8">
        <v>572</v>
      </c>
      <c r="G577" s="5"/>
    </row>
    <row r="578" spans="2:7" ht="15.6" x14ac:dyDescent="0.3">
      <c r="B578" s="8">
        <v>573</v>
      </c>
      <c r="C578" s="5"/>
      <c r="D578" s="10"/>
      <c r="F578" s="8">
        <v>573</v>
      </c>
      <c r="G578" s="5"/>
    </row>
    <row r="579" spans="2:7" ht="15.6" x14ac:dyDescent="0.3">
      <c r="B579" s="8">
        <v>574</v>
      </c>
      <c r="C579" s="5"/>
      <c r="D579" s="10"/>
      <c r="F579" s="8">
        <v>574</v>
      </c>
      <c r="G579" s="5"/>
    </row>
    <row r="580" spans="2:7" ht="15.6" x14ac:dyDescent="0.3">
      <c r="B580" s="8">
        <v>575</v>
      </c>
      <c r="C580" s="5"/>
      <c r="D580" s="10"/>
      <c r="F580" s="8">
        <v>575</v>
      </c>
      <c r="G580" s="5"/>
    </row>
    <row r="581" spans="2:7" ht="15.6" x14ac:dyDescent="0.3">
      <c r="B581" s="8">
        <v>576</v>
      </c>
      <c r="C581" s="5"/>
      <c r="D581" s="10"/>
      <c r="F581" s="8">
        <v>576</v>
      </c>
      <c r="G581" s="5"/>
    </row>
    <row r="582" spans="2:7" ht="15.6" x14ac:dyDescent="0.3">
      <c r="B582" s="8">
        <v>577</v>
      </c>
      <c r="C582" s="5"/>
      <c r="D582" s="10"/>
      <c r="F582" s="8">
        <v>577</v>
      </c>
      <c r="G582" s="5"/>
    </row>
    <row r="583" spans="2:7" ht="15.6" x14ac:dyDescent="0.3">
      <c r="B583" s="8">
        <v>578</v>
      </c>
      <c r="C583" s="5">
        <v>50</v>
      </c>
      <c r="D583" s="10">
        <v>50</v>
      </c>
      <c r="F583" s="8">
        <v>578</v>
      </c>
      <c r="G583" s="5"/>
    </row>
    <row r="584" spans="2:7" ht="15.6" x14ac:dyDescent="0.3">
      <c r="B584" s="8">
        <v>579</v>
      </c>
      <c r="C584" s="5"/>
      <c r="D584" s="10"/>
      <c r="F584" s="8">
        <v>579</v>
      </c>
      <c r="G584" s="5"/>
    </row>
    <row r="585" spans="2:7" ht="15.6" x14ac:dyDescent="0.3">
      <c r="B585" s="8">
        <v>580</v>
      </c>
      <c r="C585" s="5"/>
      <c r="D585" s="10"/>
      <c r="F585" s="8">
        <v>580</v>
      </c>
      <c r="G585" s="5"/>
    </row>
    <row r="586" spans="2:7" ht="15.6" x14ac:dyDescent="0.3">
      <c r="B586" s="8">
        <v>581</v>
      </c>
      <c r="C586" s="5">
        <v>50</v>
      </c>
      <c r="D586" s="10">
        <v>50</v>
      </c>
      <c r="F586" s="8">
        <v>581</v>
      </c>
      <c r="G586" s="5"/>
    </row>
    <row r="587" spans="2:7" ht="15.6" x14ac:dyDescent="0.3">
      <c r="B587" s="8">
        <v>582</v>
      </c>
      <c r="C587" s="5"/>
      <c r="D587" s="10"/>
      <c r="F587" s="8">
        <v>582</v>
      </c>
      <c r="G587" s="5"/>
    </row>
    <row r="588" spans="2:7" ht="15.6" x14ac:dyDescent="0.3">
      <c r="B588" s="8">
        <v>583</v>
      </c>
      <c r="C588" s="5"/>
      <c r="D588" s="10"/>
      <c r="F588" s="8">
        <v>583</v>
      </c>
      <c r="G588" s="5"/>
    </row>
    <row r="589" spans="2:7" ht="15.6" x14ac:dyDescent="0.3">
      <c r="B589" s="8">
        <v>584</v>
      </c>
      <c r="C589" s="5">
        <v>100</v>
      </c>
      <c r="D589" s="10">
        <v>100</v>
      </c>
      <c r="F589" s="8">
        <v>584</v>
      </c>
      <c r="G589" s="5"/>
    </row>
    <row r="590" spans="2:7" ht="15.6" x14ac:dyDescent="0.3">
      <c r="B590" s="8">
        <v>585</v>
      </c>
      <c r="C590" s="5"/>
      <c r="D590" s="10"/>
      <c r="F590" s="8">
        <v>585</v>
      </c>
      <c r="G590" s="5"/>
    </row>
    <row r="591" spans="2:7" ht="15.6" x14ac:dyDescent="0.3">
      <c r="B591" s="8">
        <v>586</v>
      </c>
      <c r="C591" s="5">
        <v>50</v>
      </c>
      <c r="D591" s="10">
        <v>50</v>
      </c>
      <c r="F591" s="8">
        <v>586</v>
      </c>
      <c r="G591" s="5"/>
    </row>
    <row r="592" spans="2:7" ht="15.6" x14ac:dyDescent="0.3">
      <c r="B592" s="8">
        <v>587</v>
      </c>
      <c r="C592" s="5">
        <v>200</v>
      </c>
      <c r="D592" s="10"/>
      <c r="F592" s="8">
        <v>587</v>
      </c>
      <c r="G592" s="5"/>
    </row>
    <row r="593" spans="2:7" ht="15.6" x14ac:dyDescent="0.3">
      <c r="B593" s="8">
        <v>588</v>
      </c>
      <c r="C593" s="5"/>
      <c r="D593" s="10"/>
      <c r="F593" s="8">
        <v>588</v>
      </c>
      <c r="G593" s="5"/>
    </row>
    <row r="594" spans="2:7" ht="15.6" x14ac:dyDescent="0.3">
      <c r="B594" s="8">
        <v>589</v>
      </c>
      <c r="C594" s="5">
        <v>50</v>
      </c>
      <c r="D594" s="10">
        <v>50</v>
      </c>
      <c r="F594" s="8">
        <v>589</v>
      </c>
      <c r="G594" s="5"/>
    </row>
    <row r="595" spans="2:7" ht="15.6" x14ac:dyDescent="0.3">
      <c r="B595" s="8">
        <v>590</v>
      </c>
      <c r="C595" s="5">
        <v>50</v>
      </c>
      <c r="D595" s="10"/>
      <c r="F595" s="8">
        <v>590</v>
      </c>
      <c r="G595" s="5"/>
    </row>
    <row r="596" spans="2:7" ht="15.6" x14ac:dyDescent="0.3">
      <c r="B596" s="8">
        <v>591</v>
      </c>
      <c r="C596" s="5"/>
      <c r="D596" s="10"/>
      <c r="F596" s="8">
        <v>591</v>
      </c>
      <c r="G596" s="5"/>
    </row>
    <row r="597" spans="2:7" ht="15.6" x14ac:dyDescent="0.3">
      <c r="B597" s="8">
        <v>592</v>
      </c>
      <c r="C597" s="5"/>
      <c r="D597" s="10"/>
      <c r="F597" s="8">
        <v>592</v>
      </c>
      <c r="G597" s="5"/>
    </row>
    <row r="598" spans="2:7" ht="15.6" x14ac:dyDescent="0.3">
      <c r="B598" s="8">
        <v>593</v>
      </c>
      <c r="C598" s="5"/>
      <c r="D598" s="10"/>
      <c r="F598" s="8">
        <v>593</v>
      </c>
      <c r="G598" s="5"/>
    </row>
    <row r="599" spans="2:7" ht="15.6" x14ac:dyDescent="0.3">
      <c r="B599" s="8">
        <v>594</v>
      </c>
      <c r="C599" s="5"/>
      <c r="D599" s="10"/>
      <c r="F599" s="8">
        <v>594</v>
      </c>
      <c r="G599" s="5"/>
    </row>
    <row r="600" spans="2:7" ht="15.6" x14ac:dyDescent="0.3">
      <c r="B600" s="8">
        <v>595</v>
      </c>
      <c r="C600" s="5">
        <v>50</v>
      </c>
      <c r="D600" s="10">
        <v>50</v>
      </c>
      <c r="F600" s="8">
        <v>595</v>
      </c>
      <c r="G600" s="5"/>
    </row>
    <row r="601" spans="2:7" ht="15.6" x14ac:dyDescent="0.3">
      <c r="B601" s="8">
        <v>596</v>
      </c>
      <c r="C601" s="5"/>
      <c r="D601" s="10"/>
      <c r="F601" s="8">
        <v>596</v>
      </c>
      <c r="G601" s="5"/>
    </row>
    <row r="602" spans="2:7" ht="15.6" x14ac:dyDescent="0.3">
      <c r="B602" s="8">
        <v>597</v>
      </c>
      <c r="C602" s="5"/>
      <c r="D602" s="10"/>
      <c r="F602" s="8">
        <v>597</v>
      </c>
      <c r="G602" s="5"/>
    </row>
    <row r="603" spans="2:7" ht="15.6" x14ac:dyDescent="0.3">
      <c r="B603" s="8">
        <v>598</v>
      </c>
      <c r="C603" s="5">
        <v>150</v>
      </c>
      <c r="D603" s="10">
        <v>150</v>
      </c>
      <c r="F603" s="8">
        <v>598</v>
      </c>
      <c r="G603" s="5"/>
    </row>
    <row r="604" spans="2:7" ht="15.6" x14ac:dyDescent="0.3">
      <c r="B604" s="8">
        <v>599</v>
      </c>
      <c r="C604" s="5"/>
      <c r="D604" s="10"/>
      <c r="F604" s="8">
        <v>599</v>
      </c>
      <c r="G604" s="5"/>
    </row>
    <row r="605" spans="2:7" ht="15.6" x14ac:dyDescent="0.3">
      <c r="B605" s="8">
        <v>600</v>
      </c>
      <c r="C605" s="5"/>
      <c r="D605" s="10"/>
      <c r="F605" s="8">
        <v>600</v>
      </c>
      <c r="G605" s="5"/>
    </row>
    <row r="606" spans="2:7" ht="15.6" x14ac:dyDescent="0.3">
      <c r="B606" s="8">
        <v>601</v>
      </c>
      <c r="C606" s="5"/>
      <c r="D606" s="10"/>
      <c r="F606" s="8">
        <v>601</v>
      </c>
      <c r="G606" s="5"/>
    </row>
    <row r="607" spans="2:7" ht="15.6" x14ac:dyDescent="0.3">
      <c r="B607" s="8">
        <v>602</v>
      </c>
      <c r="C607" s="5"/>
      <c r="D607" s="10"/>
      <c r="F607" s="8">
        <v>602</v>
      </c>
      <c r="G607" s="5"/>
    </row>
    <row r="608" spans="2:7" ht="15.6" x14ac:dyDescent="0.3">
      <c r="B608" s="8">
        <v>603</v>
      </c>
      <c r="C608" s="5"/>
      <c r="D608" s="10"/>
      <c r="F608" s="8">
        <v>603</v>
      </c>
      <c r="G608" s="5">
        <v>50</v>
      </c>
    </row>
    <row r="609" spans="2:7" ht="15.6" x14ac:dyDescent="0.3">
      <c r="B609" s="8">
        <v>604</v>
      </c>
      <c r="C609" s="5"/>
      <c r="D609" s="10"/>
      <c r="F609" s="8">
        <v>604</v>
      </c>
      <c r="G609" s="5"/>
    </row>
    <row r="610" spans="2:7" ht="15.6" x14ac:dyDescent="0.3">
      <c r="B610" s="8">
        <v>605</v>
      </c>
      <c r="C610" s="5"/>
      <c r="D610" s="10"/>
      <c r="F610" s="8">
        <v>605</v>
      </c>
      <c r="G610" s="5"/>
    </row>
    <row r="611" spans="2:7" ht="15.6" x14ac:dyDescent="0.3">
      <c r="B611" s="8">
        <v>606</v>
      </c>
      <c r="C611" s="5"/>
      <c r="D611" s="10"/>
      <c r="F611" s="8">
        <v>606</v>
      </c>
      <c r="G611" s="5"/>
    </row>
    <row r="612" spans="2:7" ht="15.6" x14ac:dyDescent="0.3">
      <c r="B612" s="8">
        <v>607</v>
      </c>
      <c r="C612" s="5"/>
      <c r="D612" s="10"/>
      <c r="F612" s="8">
        <v>607</v>
      </c>
      <c r="G612" s="5"/>
    </row>
    <row r="613" spans="2:7" ht="15.6" x14ac:dyDescent="0.3">
      <c r="B613" s="8">
        <v>608</v>
      </c>
      <c r="C613" s="5"/>
      <c r="D613" s="10"/>
      <c r="F613" s="8">
        <v>608</v>
      </c>
      <c r="G613" s="5"/>
    </row>
    <row r="614" spans="2:7" ht="15.6" x14ac:dyDescent="0.3">
      <c r="B614" s="8">
        <v>609</v>
      </c>
      <c r="C614" s="5"/>
      <c r="D614" s="10"/>
      <c r="F614" s="8">
        <v>609</v>
      </c>
      <c r="G614" s="5"/>
    </row>
    <row r="615" spans="2:7" ht="15.6" x14ac:dyDescent="0.3">
      <c r="B615" s="8">
        <v>610</v>
      </c>
      <c r="C615" s="5"/>
      <c r="D615" s="10"/>
      <c r="F615" s="8">
        <v>610</v>
      </c>
      <c r="G615" s="5"/>
    </row>
    <row r="616" spans="2:7" ht="15.6" x14ac:dyDescent="0.3">
      <c r="B616" s="8">
        <v>611</v>
      </c>
      <c r="C616" s="5"/>
      <c r="D616" s="10"/>
      <c r="F616" s="8">
        <v>611</v>
      </c>
      <c r="G616" s="5"/>
    </row>
    <row r="617" spans="2:7" ht="15.6" x14ac:dyDescent="0.3">
      <c r="B617" s="8">
        <v>612</v>
      </c>
      <c r="C617" s="5"/>
      <c r="D617" s="10"/>
      <c r="F617" s="8">
        <v>612</v>
      </c>
      <c r="G617" s="5"/>
    </row>
    <row r="618" spans="2:7" ht="15.6" x14ac:dyDescent="0.3">
      <c r="B618" s="8">
        <v>613</v>
      </c>
      <c r="C618" s="5"/>
      <c r="D618" s="10"/>
      <c r="F618" s="8">
        <v>613</v>
      </c>
      <c r="G618" s="5"/>
    </row>
    <row r="619" spans="2:7" ht="15.6" x14ac:dyDescent="0.3">
      <c r="B619" s="8">
        <v>614</v>
      </c>
      <c r="C619" s="5"/>
      <c r="D619" s="10"/>
      <c r="F619" s="8">
        <v>614</v>
      </c>
      <c r="G619" s="5"/>
    </row>
    <row r="620" spans="2:7" ht="15.6" x14ac:dyDescent="0.3">
      <c r="B620" s="8">
        <v>615</v>
      </c>
      <c r="C620" s="5"/>
      <c r="D620" s="10"/>
      <c r="F620" s="8">
        <v>615</v>
      </c>
      <c r="G620" s="5"/>
    </row>
    <row r="621" spans="2:7" ht="15.6" x14ac:dyDescent="0.3">
      <c r="B621" s="8">
        <v>616</v>
      </c>
      <c r="C621" s="5"/>
      <c r="D621" s="10"/>
      <c r="F621" s="8">
        <v>616</v>
      </c>
      <c r="G621" s="5"/>
    </row>
    <row r="622" spans="2:7" ht="15.6" x14ac:dyDescent="0.3">
      <c r="B622" s="8">
        <v>617</v>
      </c>
      <c r="C622" s="5"/>
      <c r="D622" s="10"/>
      <c r="F622" s="8">
        <v>617</v>
      </c>
      <c r="G622" s="5"/>
    </row>
    <row r="623" spans="2:7" ht="15.6" x14ac:dyDescent="0.3">
      <c r="B623" s="8">
        <v>618</v>
      </c>
      <c r="C623" s="5"/>
      <c r="D623" s="10"/>
      <c r="F623" s="8">
        <v>618</v>
      </c>
      <c r="G623" s="5"/>
    </row>
    <row r="624" spans="2:7" ht="15.6" x14ac:dyDescent="0.3">
      <c r="B624" s="8">
        <v>619</v>
      </c>
      <c r="C624" s="5"/>
      <c r="D624" s="10"/>
      <c r="F624" s="8">
        <v>619</v>
      </c>
      <c r="G624" s="5"/>
    </row>
    <row r="625" spans="2:7" ht="15.6" x14ac:dyDescent="0.3">
      <c r="B625" s="8">
        <v>620</v>
      </c>
      <c r="C625" s="5"/>
      <c r="D625" s="10"/>
      <c r="F625" s="8">
        <v>620</v>
      </c>
      <c r="G625" s="5"/>
    </row>
    <row r="626" spans="2:7" ht="15.6" x14ac:dyDescent="0.3">
      <c r="B626" s="8">
        <v>621</v>
      </c>
      <c r="C626" s="5"/>
      <c r="D626" s="10"/>
      <c r="F626" s="8">
        <v>621</v>
      </c>
      <c r="G626" s="5"/>
    </row>
    <row r="627" spans="2:7" ht="15.6" x14ac:dyDescent="0.3">
      <c r="B627" s="8">
        <v>622</v>
      </c>
      <c r="C627" s="5"/>
      <c r="D627" s="10"/>
      <c r="F627" s="8">
        <v>622</v>
      </c>
      <c r="G627" s="5"/>
    </row>
    <row r="628" spans="2:7" ht="15.6" x14ac:dyDescent="0.3">
      <c r="B628" s="8">
        <v>623</v>
      </c>
      <c r="C628" s="5"/>
      <c r="D628" s="10"/>
      <c r="F628" s="8">
        <v>623</v>
      </c>
      <c r="G628" s="5"/>
    </row>
    <row r="629" spans="2:7" ht="15.6" x14ac:dyDescent="0.3">
      <c r="B629" s="8">
        <v>624</v>
      </c>
      <c r="C629" s="5"/>
      <c r="D629" s="10"/>
      <c r="F629" s="8">
        <v>624</v>
      </c>
      <c r="G629" s="5"/>
    </row>
    <row r="630" spans="2:7" ht="15.6" x14ac:dyDescent="0.3">
      <c r="B630" s="8">
        <v>625</v>
      </c>
      <c r="C630" s="5">
        <v>50</v>
      </c>
      <c r="D630" s="10">
        <v>50</v>
      </c>
      <c r="F630" s="8">
        <v>625</v>
      </c>
      <c r="G630" s="5"/>
    </row>
    <row r="631" spans="2:7" ht="15.6" x14ac:dyDescent="0.3">
      <c r="B631" s="8">
        <v>626</v>
      </c>
      <c r="C631" s="5"/>
      <c r="D631" s="10"/>
      <c r="F631" s="8">
        <v>626</v>
      </c>
      <c r="G631" s="5"/>
    </row>
    <row r="632" spans="2:7" ht="15.6" x14ac:dyDescent="0.3">
      <c r="B632" s="8">
        <v>627</v>
      </c>
      <c r="C632" s="5"/>
      <c r="D632" s="10"/>
      <c r="F632" s="8">
        <v>627</v>
      </c>
      <c r="G632" s="5"/>
    </row>
    <row r="633" spans="2:7" ht="15.6" x14ac:dyDescent="0.3">
      <c r="B633" s="8">
        <v>628</v>
      </c>
      <c r="C633" s="5"/>
      <c r="D633" s="10"/>
      <c r="F633" s="8">
        <v>628</v>
      </c>
      <c r="G633" s="5"/>
    </row>
    <row r="634" spans="2:7" ht="15.6" x14ac:dyDescent="0.3">
      <c r="B634" s="8">
        <v>629</v>
      </c>
      <c r="C634" s="5"/>
      <c r="D634" s="10"/>
      <c r="F634" s="8">
        <v>629</v>
      </c>
      <c r="G634" s="5"/>
    </row>
    <row r="635" spans="2:7" ht="15.6" x14ac:dyDescent="0.3">
      <c r="B635" s="8">
        <v>630</v>
      </c>
      <c r="C635" s="5"/>
      <c r="D635" s="10"/>
      <c r="F635" s="8">
        <v>630</v>
      </c>
      <c r="G635" s="5"/>
    </row>
    <row r="636" spans="2:7" ht="15.6" x14ac:dyDescent="0.3">
      <c r="B636" s="8">
        <v>631</v>
      </c>
      <c r="C636" s="5"/>
      <c r="D636" s="10"/>
      <c r="F636" s="8">
        <v>631</v>
      </c>
      <c r="G636" s="5"/>
    </row>
    <row r="637" spans="2:7" ht="15.6" x14ac:dyDescent="0.3">
      <c r="B637" s="8">
        <v>632</v>
      </c>
      <c r="C637" s="5"/>
      <c r="D637" s="10"/>
      <c r="F637" s="8">
        <v>632</v>
      </c>
      <c r="G637" s="5"/>
    </row>
    <row r="638" spans="2:7" ht="15.6" x14ac:dyDescent="0.3">
      <c r="B638" s="8">
        <v>633</v>
      </c>
      <c r="C638" s="5"/>
      <c r="D638" s="10"/>
      <c r="F638" s="8">
        <v>633</v>
      </c>
      <c r="G638" s="5"/>
    </row>
    <row r="639" spans="2:7" ht="15.6" x14ac:dyDescent="0.3">
      <c r="B639" s="8">
        <v>634</v>
      </c>
      <c r="C639" s="5"/>
      <c r="D639" s="10"/>
      <c r="F639" s="8">
        <v>634</v>
      </c>
      <c r="G639" s="5"/>
    </row>
    <row r="640" spans="2:7" ht="15.6" x14ac:dyDescent="0.3">
      <c r="B640" s="8">
        <v>635</v>
      </c>
      <c r="C640" s="5"/>
      <c r="D640" s="10"/>
      <c r="F640" s="8">
        <v>635</v>
      </c>
      <c r="G640" s="5"/>
    </row>
    <row r="641" spans="2:7" ht="15.6" x14ac:dyDescent="0.3">
      <c r="B641" s="8">
        <v>636</v>
      </c>
      <c r="C641" s="5"/>
      <c r="D641" s="10"/>
      <c r="F641" s="8">
        <v>636</v>
      </c>
      <c r="G641" s="5"/>
    </row>
    <row r="642" spans="2:7" ht="15.6" x14ac:dyDescent="0.3">
      <c r="B642" s="8">
        <v>637</v>
      </c>
      <c r="C642" s="5">
        <v>50</v>
      </c>
      <c r="D642" s="10"/>
      <c r="F642" s="8">
        <v>637</v>
      </c>
      <c r="G642" s="5">
        <v>100</v>
      </c>
    </row>
    <row r="643" spans="2:7" ht="15.6" x14ac:dyDescent="0.3">
      <c r="B643" s="8">
        <v>638</v>
      </c>
      <c r="C643" s="5">
        <v>100</v>
      </c>
      <c r="D643" s="10">
        <v>50</v>
      </c>
      <c r="F643" s="8">
        <v>638</v>
      </c>
      <c r="G643" s="5"/>
    </row>
    <row r="644" spans="2:7" ht="15.6" x14ac:dyDescent="0.3">
      <c r="B644" s="8">
        <v>639</v>
      </c>
      <c r="C644" s="5"/>
      <c r="D644" s="10"/>
      <c r="F644" s="8">
        <v>639</v>
      </c>
      <c r="G644" s="5"/>
    </row>
    <row r="645" spans="2:7" ht="15.6" x14ac:dyDescent="0.3">
      <c r="B645" s="8">
        <v>640</v>
      </c>
      <c r="C645" s="5"/>
      <c r="D645" s="10"/>
      <c r="F645" s="8">
        <v>640</v>
      </c>
      <c r="G645" s="5"/>
    </row>
    <row r="646" spans="2:7" ht="15.6" x14ac:dyDescent="0.3">
      <c r="B646" s="8">
        <v>641</v>
      </c>
      <c r="C646" s="5"/>
      <c r="D646" s="10"/>
      <c r="F646" s="8">
        <v>641</v>
      </c>
      <c r="G646" s="5"/>
    </row>
    <row r="647" spans="2:7" ht="15.6" x14ac:dyDescent="0.3">
      <c r="B647" s="8">
        <v>642</v>
      </c>
      <c r="C647" s="5"/>
      <c r="D647" s="10"/>
      <c r="F647" s="8">
        <v>642</v>
      </c>
      <c r="G647" s="5"/>
    </row>
    <row r="648" spans="2:7" ht="15.6" x14ac:dyDescent="0.3">
      <c r="B648" s="8">
        <v>643</v>
      </c>
      <c r="C648" s="5"/>
      <c r="D648" s="10"/>
      <c r="F648" s="8">
        <v>643</v>
      </c>
      <c r="G648" s="5"/>
    </row>
    <row r="649" spans="2:7" ht="15.6" x14ac:dyDescent="0.3">
      <c r="B649" s="8">
        <v>644</v>
      </c>
      <c r="C649" s="5"/>
      <c r="D649" s="10"/>
      <c r="F649" s="8">
        <v>644</v>
      </c>
      <c r="G649" s="5"/>
    </row>
    <row r="650" spans="2:7" ht="15.6" x14ac:dyDescent="0.3">
      <c r="B650" s="8">
        <v>645</v>
      </c>
      <c r="C650" s="5"/>
      <c r="D650" s="10"/>
      <c r="F650" s="8">
        <v>645</v>
      </c>
      <c r="G650" s="5"/>
    </row>
    <row r="651" spans="2:7" ht="15.6" x14ac:dyDescent="0.3">
      <c r="B651" s="8">
        <v>646</v>
      </c>
      <c r="C651" s="5"/>
      <c r="D651" s="10"/>
      <c r="F651" s="8">
        <v>646</v>
      </c>
      <c r="G651" s="5"/>
    </row>
    <row r="652" spans="2:7" ht="15.6" x14ac:dyDescent="0.3">
      <c r="B652" s="8">
        <v>647</v>
      </c>
      <c r="C652" s="5"/>
      <c r="D652" s="10"/>
      <c r="F652" s="8">
        <v>647</v>
      </c>
      <c r="G652" s="5"/>
    </row>
    <row r="653" spans="2:7" ht="15.6" x14ac:dyDescent="0.3">
      <c r="B653" s="8">
        <v>648</v>
      </c>
      <c r="C653" s="5">
        <v>20</v>
      </c>
      <c r="D653" s="10">
        <v>20</v>
      </c>
      <c r="F653" s="8">
        <v>648</v>
      </c>
      <c r="G653" s="5"/>
    </row>
    <row r="654" spans="2:7" ht="15.6" x14ac:dyDescent="0.3">
      <c r="B654" s="8">
        <v>649</v>
      </c>
      <c r="C654" s="5"/>
      <c r="D654" s="10"/>
      <c r="F654" s="8">
        <v>649</v>
      </c>
      <c r="G654" s="5"/>
    </row>
    <row r="655" spans="2:7" ht="15.6" x14ac:dyDescent="0.3">
      <c r="B655" s="8">
        <v>650</v>
      </c>
      <c r="C655" s="5"/>
      <c r="D655" s="10"/>
      <c r="F655" s="8">
        <v>650</v>
      </c>
      <c r="G655" s="5"/>
    </row>
    <row r="656" spans="2:7" ht="15.6" x14ac:dyDescent="0.3">
      <c r="B656" s="8">
        <v>651</v>
      </c>
      <c r="C656" s="5">
        <v>50</v>
      </c>
      <c r="D656" s="10">
        <v>50</v>
      </c>
      <c r="F656" s="8">
        <v>651</v>
      </c>
      <c r="G656" s="5"/>
    </row>
    <row r="657" spans="2:7" ht="15.6" x14ac:dyDescent="0.3">
      <c r="B657" s="8">
        <v>652</v>
      </c>
      <c r="C657" s="5"/>
      <c r="D657" s="10"/>
      <c r="F657" s="8">
        <v>652</v>
      </c>
      <c r="G657" s="5"/>
    </row>
    <row r="658" spans="2:7" ht="15.6" x14ac:dyDescent="0.3">
      <c r="B658" s="8">
        <v>653</v>
      </c>
      <c r="C658" s="5"/>
      <c r="D658" s="10"/>
      <c r="F658" s="8">
        <v>653</v>
      </c>
      <c r="G658" s="5"/>
    </row>
    <row r="659" spans="2:7" ht="15.6" x14ac:dyDescent="0.3">
      <c r="B659" s="8">
        <v>654</v>
      </c>
      <c r="C659" s="5"/>
      <c r="D659" s="10"/>
      <c r="F659" s="8">
        <v>654</v>
      </c>
      <c r="G659" s="5"/>
    </row>
    <row r="660" spans="2:7" ht="15.6" x14ac:dyDescent="0.3">
      <c r="B660" s="8">
        <v>655</v>
      </c>
      <c r="C660" s="5"/>
      <c r="D660" s="10"/>
      <c r="F660" s="8">
        <v>655</v>
      </c>
      <c r="G660" s="5"/>
    </row>
    <row r="661" spans="2:7" ht="15.6" x14ac:dyDescent="0.3">
      <c r="B661" s="8">
        <v>656</v>
      </c>
      <c r="C661" s="5"/>
      <c r="D661" s="10"/>
      <c r="F661" s="8">
        <v>656</v>
      </c>
      <c r="G661" s="5"/>
    </row>
    <row r="662" spans="2:7" ht="15.6" x14ac:dyDescent="0.3">
      <c r="B662" s="8">
        <v>657</v>
      </c>
      <c r="C662" s="5"/>
      <c r="D662" s="10"/>
      <c r="F662" s="8">
        <v>657</v>
      </c>
      <c r="G662" s="5"/>
    </row>
    <row r="663" spans="2:7" ht="15.6" x14ac:dyDescent="0.3">
      <c r="B663" s="8">
        <v>658</v>
      </c>
      <c r="C663" s="5">
        <v>50</v>
      </c>
      <c r="D663" s="10">
        <v>50</v>
      </c>
      <c r="F663" s="8">
        <v>658</v>
      </c>
      <c r="G663" s="5"/>
    </row>
    <row r="664" spans="2:7" ht="15.6" x14ac:dyDescent="0.3">
      <c r="B664" s="8">
        <v>659</v>
      </c>
      <c r="C664" s="5"/>
      <c r="D664" s="10"/>
      <c r="F664" s="8">
        <v>659</v>
      </c>
      <c r="G664" s="5"/>
    </row>
    <row r="665" spans="2:7" ht="15.6" x14ac:dyDescent="0.3">
      <c r="B665" s="8">
        <v>660</v>
      </c>
      <c r="C665" s="5"/>
      <c r="D665" s="10"/>
      <c r="F665" s="8">
        <v>660</v>
      </c>
      <c r="G665" s="5"/>
    </row>
    <row r="666" spans="2:7" ht="15.6" x14ac:dyDescent="0.3">
      <c r="B666" s="8">
        <v>661</v>
      </c>
      <c r="C666" s="5"/>
      <c r="D666" s="10"/>
      <c r="F666" s="8">
        <v>661</v>
      </c>
      <c r="G666" s="5"/>
    </row>
    <row r="667" spans="2:7" ht="15.6" x14ac:dyDescent="0.3">
      <c r="B667" s="8">
        <v>662</v>
      </c>
      <c r="C667" s="5"/>
      <c r="D667" s="10"/>
      <c r="F667" s="8">
        <v>662</v>
      </c>
      <c r="G667" s="5"/>
    </row>
    <row r="668" spans="2:7" ht="15.6" x14ac:dyDescent="0.3">
      <c r="B668" s="8">
        <v>663</v>
      </c>
      <c r="C668" s="5"/>
      <c r="D668" s="10"/>
      <c r="F668" s="8">
        <v>663</v>
      </c>
      <c r="G668" s="5"/>
    </row>
    <row r="669" spans="2:7" ht="15.6" x14ac:dyDescent="0.3">
      <c r="B669" s="8">
        <v>664</v>
      </c>
      <c r="C669" s="5"/>
      <c r="D669" s="10"/>
      <c r="F669" s="8">
        <v>664</v>
      </c>
      <c r="G669" s="5"/>
    </row>
    <row r="670" spans="2:7" ht="15.6" x14ac:dyDescent="0.3">
      <c r="B670" s="8">
        <v>665</v>
      </c>
      <c r="C670" s="5"/>
      <c r="D670" s="10"/>
      <c r="F670" s="8">
        <v>665</v>
      </c>
      <c r="G670" s="5"/>
    </row>
    <row r="671" spans="2:7" ht="15.6" x14ac:dyDescent="0.3">
      <c r="B671" s="8">
        <v>666</v>
      </c>
      <c r="C671" s="5"/>
      <c r="D671" s="10"/>
      <c r="F671" s="8">
        <v>666</v>
      </c>
      <c r="G671" s="5"/>
    </row>
    <row r="672" spans="2:7" ht="15.6" x14ac:dyDescent="0.3">
      <c r="B672" s="8">
        <v>667</v>
      </c>
      <c r="C672" s="5"/>
      <c r="D672" s="10"/>
      <c r="F672" s="8">
        <v>667</v>
      </c>
      <c r="G672" s="5"/>
    </row>
    <row r="673" spans="2:7" ht="15.6" x14ac:dyDescent="0.3">
      <c r="B673" s="8">
        <v>668</v>
      </c>
      <c r="C673" s="5"/>
      <c r="D673" s="10"/>
      <c r="F673" s="8">
        <v>668</v>
      </c>
      <c r="G673" s="5"/>
    </row>
    <row r="674" spans="2:7" ht="15.6" x14ac:dyDescent="0.3">
      <c r="B674" s="8">
        <v>669</v>
      </c>
      <c r="C674" s="5"/>
      <c r="D674" s="10"/>
      <c r="F674" s="8">
        <v>669</v>
      </c>
      <c r="G674" s="5"/>
    </row>
    <row r="675" spans="2:7" ht="15.6" x14ac:dyDescent="0.3">
      <c r="B675" s="8">
        <v>670</v>
      </c>
      <c r="C675" s="5"/>
      <c r="D675" s="10"/>
      <c r="F675" s="8">
        <v>670</v>
      </c>
      <c r="G675" s="5"/>
    </row>
    <row r="676" spans="2:7" ht="15.6" x14ac:dyDescent="0.3">
      <c r="B676" s="8">
        <v>671</v>
      </c>
      <c r="C676" s="5"/>
      <c r="D676" s="10"/>
      <c r="F676" s="8">
        <v>671</v>
      </c>
      <c r="G676" s="5"/>
    </row>
    <row r="677" spans="2:7" ht="15.6" x14ac:dyDescent="0.3">
      <c r="B677" s="8">
        <v>672</v>
      </c>
      <c r="C677" s="5"/>
      <c r="D677" s="10"/>
      <c r="F677" s="8">
        <v>672</v>
      </c>
      <c r="G677" s="5"/>
    </row>
    <row r="678" spans="2:7" ht="15.6" x14ac:dyDescent="0.3">
      <c r="B678" s="8">
        <v>673</v>
      </c>
      <c r="C678" s="5">
        <v>50</v>
      </c>
      <c r="D678" s="10"/>
      <c r="F678" s="8">
        <v>673</v>
      </c>
      <c r="G678" s="5">
        <v>100</v>
      </c>
    </row>
    <row r="679" spans="2:7" ht="15.6" x14ac:dyDescent="0.3">
      <c r="B679" s="8">
        <v>674</v>
      </c>
      <c r="C679" s="5"/>
      <c r="D679" s="10"/>
      <c r="F679" s="8">
        <v>674</v>
      </c>
      <c r="G679" s="5"/>
    </row>
    <row r="680" spans="2:7" ht="15.6" x14ac:dyDescent="0.3">
      <c r="B680" s="8">
        <v>675</v>
      </c>
      <c r="C680" s="5"/>
      <c r="D680" s="10"/>
      <c r="F680" s="8">
        <v>675</v>
      </c>
      <c r="G680" s="5"/>
    </row>
    <row r="681" spans="2:7" ht="15.6" x14ac:dyDescent="0.3">
      <c r="B681" s="8">
        <v>676</v>
      </c>
      <c r="C681" s="5"/>
      <c r="D681" s="10"/>
      <c r="F681" s="8">
        <v>676</v>
      </c>
      <c r="G681" s="5"/>
    </row>
    <row r="682" spans="2:7" ht="15.6" x14ac:dyDescent="0.3">
      <c r="B682" s="8">
        <v>677</v>
      </c>
      <c r="C682" s="5"/>
      <c r="D682" s="10"/>
      <c r="F682" s="8">
        <v>677</v>
      </c>
      <c r="G682" s="5"/>
    </row>
    <row r="683" spans="2:7" ht="15.6" x14ac:dyDescent="0.3">
      <c r="B683" s="8">
        <v>678</v>
      </c>
      <c r="C683" s="5">
        <v>100</v>
      </c>
      <c r="D683" s="10">
        <v>100</v>
      </c>
      <c r="F683" s="8">
        <v>678</v>
      </c>
      <c r="G683" s="5"/>
    </row>
    <row r="684" spans="2:7" ht="15.6" x14ac:dyDescent="0.3">
      <c r="B684" s="8">
        <v>679</v>
      </c>
      <c r="C684" s="5"/>
      <c r="D684" s="10"/>
      <c r="F684" s="8">
        <v>679</v>
      </c>
      <c r="G684" s="5"/>
    </row>
    <row r="685" spans="2:7" ht="15.6" x14ac:dyDescent="0.3">
      <c r="B685" s="8">
        <v>680</v>
      </c>
      <c r="C685" s="5"/>
      <c r="D685" s="10"/>
      <c r="F685" s="8">
        <v>680</v>
      </c>
      <c r="G685" s="5"/>
    </row>
    <row r="686" spans="2:7" ht="15.6" x14ac:dyDescent="0.3">
      <c r="B686" s="8">
        <v>681</v>
      </c>
      <c r="C686" s="5"/>
      <c r="D686" s="10"/>
      <c r="F686" s="8">
        <v>681</v>
      </c>
      <c r="G686" s="5"/>
    </row>
    <row r="687" spans="2:7" ht="15.6" x14ac:dyDescent="0.3">
      <c r="B687" s="8">
        <v>682</v>
      </c>
      <c r="C687" s="5"/>
      <c r="D687" s="10"/>
      <c r="F687" s="8">
        <v>682</v>
      </c>
      <c r="G687" s="5"/>
    </row>
    <row r="688" spans="2:7" ht="15.6" x14ac:dyDescent="0.3">
      <c r="B688" s="8">
        <v>683</v>
      </c>
      <c r="C688" s="5"/>
      <c r="D688" s="10"/>
      <c r="F688" s="8">
        <v>683</v>
      </c>
      <c r="G688" s="5"/>
    </row>
    <row r="689" spans="2:7" ht="15.6" x14ac:dyDescent="0.3">
      <c r="B689" s="8">
        <v>684</v>
      </c>
      <c r="C689" s="5"/>
      <c r="D689" s="10"/>
      <c r="F689" s="8">
        <v>684</v>
      </c>
      <c r="G689" s="5"/>
    </row>
    <row r="690" spans="2:7" ht="15.6" x14ac:dyDescent="0.3">
      <c r="B690" s="8">
        <v>685</v>
      </c>
      <c r="C690" s="5">
        <v>50</v>
      </c>
      <c r="D690" s="10">
        <v>50</v>
      </c>
      <c r="F690" s="8">
        <v>685</v>
      </c>
      <c r="G690" s="5"/>
    </row>
    <row r="691" spans="2:7" ht="15.6" x14ac:dyDescent="0.3">
      <c r="B691" s="8">
        <v>686</v>
      </c>
      <c r="C691" s="5">
        <v>20</v>
      </c>
      <c r="D691" s="10">
        <v>20</v>
      </c>
      <c r="F691" s="8">
        <v>686</v>
      </c>
      <c r="G691" s="5"/>
    </row>
    <row r="692" spans="2:7" ht="15.6" x14ac:dyDescent="0.3">
      <c r="B692" s="8">
        <v>687</v>
      </c>
      <c r="C692" s="5">
        <v>20</v>
      </c>
      <c r="D692" s="10">
        <v>20</v>
      </c>
      <c r="F692" s="8">
        <v>687</v>
      </c>
      <c r="G692" s="5"/>
    </row>
    <row r="693" spans="2:7" ht="15.6" x14ac:dyDescent="0.3">
      <c r="B693" s="8">
        <v>688</v>
      </c>
      <c r="C693" s="5"/>
      <c r="D693" s="10"/>
      <c r="F693" s="8">
        <v>688</v>
      </c>
      <c r="G693" s="5"/>
    </row>
    <row r="694" spans="2:7" ht="15.6" x14ac:dyDescent="0.3">
      <c r="B694" s="8">
        <v>689</v>
      </c>
      <c r="C694" s="5"/>
      <c r="D694" s="10"/>
      <c r="F694" s="8">
        <v>689</v>
      </c>
      <c r="G694" s="5"/>
    </row>
    <row r="695" spans="2:7" ht="15.6" x14ac:dyDescent="0.3">
      <c r="B695" s="8">
        <v>690</v>
      </c>
      <c r="C695" s="5"/>
      <c r="D695" s="10"/>
      <c r="F695" s="8">
        <v>690</v>
      </c>
      <c r="G695" s="5"/>
    </row>
    <row r="696" spans="2:7" ht="15.6" x14ac:dyDescent="0.3">
      <c r="B696" s="8">
        <v>691</v>
      </c>
      <c r="C696" s="5"/>
      <c r="D696" s="10"/>
      <c r="F696" s="8">
        <v>691</v>
      </c>
      <c r="G696" s="5"/>
    </row>
    <row r="697" spans="2:7" ht="15.6" x14ac:dyDescent="0.3">
      <c r="B697" s="8">
        <v>692</v>
      </c>
      <c r="C697" s="5"/>
      <c r="D697" s="10"/>
      <c r="F697" s="8">
        <v>692</v>
      </c>
      <c r="G697" s="5"/>
    </row>
    <row r="698" spans="2:7" ht="15.6" x14ac:dyDescent="0.3">
      <c r="B698" s="8">
        <v>693</v>
      </c>
      <c r="C698" s="5"/>
      <c r="D698" s="10"/>
      <c r="F698" s="8">
        <v>693</v>
      </c>
      <c r="G698" s="5"/>
    </row>
    <row r="699" spans="2:7" ht="15.6" x14ac:dyDescent="0.3">
      <c r="B699" s="8">
        <v>694</v>
      </c>
      <c r="C699" s="5"/>
      <c r="D699" s="10"/>
      <c r="F699" s="8">
        <v>694</v>
      </c>
      <c r="G699" s="5"/>
    </row>
    <row r="700" spans="2:7" ht="15.6" x14ac:dyDescent="0.3">
      <c r="B700" s="8">
        <v>695</v>
      </c>
      <c r="C700" s="5"/>
      <c r="D700" s="10"/>
      <c r="F700" s="8">
        <v>695</v>
      </c>
      <c r="G700" s="5"/>
    </row>
    <row r="701" spans="2:7" ht="15.6" x14ac:dyDescent="0.3">
      <c r="B701" s="8">
        <v>696</v>
      </c>
      <c r="C701" s="5"/>
      <c r="D701" s="10"/>
      <c r="F701" s="8">
        <v>696</v>
      </c>
      <c r="G701" s="5"/>
    </row>
    <row r="702" spans="2:7" ht="15.6" x14ac:dyDescent="0.3">
      <c r="B702" s="8">
        <v>697</v>
      </c>
      <c r="C702" s="5"/>
      <c r="D702" s="10"/>
      <c r="F702" s="8">
        <v>697</v>
      </c>
      <c r="G702" s="5"/>
    </row>
    <row r="703" spans="2:7" ht="15.6" x14ac:dyDescent="0.3">
      <c r="B703" s="8">
        <v>698</v>
      </c>
      <c r="C703" s="5"/>
      <c r="D703" s="10"/>
      <c r="F703" s="8">
        <v>698</v>
      </c>
      <c r="G703" s="5"/>
    </row>
    <row r="704" spans="2:7" ht="15.6" x14ac:dyDescent="0.3">
      <c r="B704" s="8">
        <v>699</v>
      </c>
      <c r="C704" s="5"/>
      <c r="D704" s="10"/>
      <c r="F704" s="8">
        <v>699</v>
      </c>
      <c r="G704" s="5"/>
    </row>
    <row r="705" spans="2:7" ht="15.6" x14ac:dyDescent="0.3">
      <c r="B705" s="8">
        <v>700</v>
      </c>
      <c r="C705" s="5"/>
      <c r="D705" s="10"/>
      <c r="F705" s="8">
        <v>700</v>
      </c>
      <c r="G705" s="5"/>
    </row>
    <row r="706" spans="2:7" ht="15.6" x14ac:dyDescent="0.3">
      <c r="B706" s="8">
        <v>701</v>
      </c>
      <c r="C706" s="5"/>
      <c r="D706" s="10"/>
      <c r="F706" s="8">
        <v>701</v>
      </c>
      <c r="G706" s="5"/>
    </row>
    <row r="707" spans="2:7" ht="15.6" x14ac:dyDescent="0.3">
      <c r="B707" s="8">
        <v>702</v>
      </c>
      <c r="C707" s="5"/>
      <c r="D707" s="10"/>
      <c r="F707" s="8">
        <v>702</v>
      </c>
      <c r="G707" s="5"/>
    </row>
    <row r="708" spans="2:7" ht="15.6" x14ac:dyDescent="0.3">
      <c r="B708" s="8">
        <v>703</v>
      </c>
      <c r="C708" s="5"/>
      <c r="D708" s="10"/>
      <c r="F708" s="8">
        <v>703</v>
      </c>
      <c r="G708" s="5"/>
    </row>
    <row r="709" spans="2:7" ht="15.6" x14ac:dyDescent="0.3">
      <c r="B709" s="8">
        <v>704</v>
      </c>
      <c r="C709" s="5"/>
      <c r="D709" s="10"/>
      <c r="F709" s="8">
        <v>704</v>
      </c>
      <c r="G709" s="5"/>
    </row>
    <row r="710" spans="2:7" ht="15.6" x14ac:dyDescent="0.3">
      <c r="B710" s="8">
        <v>705</v>
      </c>
      <c r="C710" s="5"/>
      <c r="D710" s="10"/>
      <c r="F710" s="8">
        <v>705</v>
      </c>
      <c r="G710" s="5"/>
    </row>
    <row r="711" spans="2:7" ht="15.6" x14ac:dyDescent="0.3">
      <c r="B711" s="8">
        <v>706</v>
      </c>
      <c r="C711" s="5"/>
      <c r="D711" s="10"/>
      <c r="F711" s="8">
        <v>706</v>
      </c>
      <c r="G711" s="5"/>
    </row>
    <row r="712" spans="2:7" ht="15.6" x14ac:dyDescent="0.3">
      <c r="B712" s="8">
        <v>707</v>
      </c>
      <c r="C712" s="5"/>
      <c r="D712" s="10"/>
      <c r="F712" s="8">
        <v>707</v>
      </c>
      <c r="G712" s="5"/>
    </row>
    <row r="713" spans="2:7" ht="15.6" x14ac:dyDescent="0.3">
      <c r="B713" s="8">
        <v>708</v>
      </c>
      <c r="C713" s="5"/>
      <c r="D713" s="10"/>
      <c r="F713" s="8">
        <v>708</v>
      </c>
      <c r="G713" s="5"/>
    </row>
    <row r="714" spans="2:7" ht="15.6" x14ac:dyDescent="0.3">
      <c r="B714" s="8">
        <v>709</v>
      </c>
      <c r="C714" s="5">
        <v>50</v>
      </c>
      <c r="D714" s="10">
        <v>50</v>
      </c>
      <c r="F714" s="8">
        <v>709</v>
      </c>
      <c r="G714" s="5"/>
    </row>
    <row r="715" spans="2:7" ht="15.6" x14ac:dyDescent="0.3">
      <c r="B715" s="8">
        <v>710</v>
      </c>
      <c r="C715" s="5"/>
      <c r="D715" s="10"/>
      <c r="F715" s="8">
        <v>710</v>
      </c>
      <c r="G715" s="5"/>
    </row>
    <row r="716" spans="2:7" ht="15.6" x14ac:dyDescent="0.3">
      <c r="B716" s="8">
        <v>711</v>
      </c>
      <c r="C716" s="5"/>
      <c r="D716" s="10"/>
      <c r="F716" s="8">
        <v>711</v>
      </c>
      <c r="G716" s="5"/>
    </row>
    <row r="717" spans="2:7" ht="15.6" x14ac:dyDescent="0.3">
      <c r="B717" s="8">
        <v>712</v>
      </c>
      <c r="C717" s="5"/>
      <c r="D717" s="10"/>
      <c r="F717" s="8">
        <v>712</v>
      </c>
      <c r="G717" s="5"/>
    </row>
    <row r="718" spans="2:7" ht="15.6" x14ac:dyDescent="0.3">
      <c r="B718" s="8">
        <v>713</v>
      </c>
      <c r="C718" s="5"/>
      <c r="D718" s="10"/>
      <c r="F718" s="8">
        <v>713</v>
      </c>
      <c r="G718" s="5"/>
    </row>
    <row r="719" spans="2:7" ht="15.6" x14ac:dyDescent="0.3">
      <c r="B719" s="8">
        <v>714</v>
      </c>
      <c r="C719" s="5"/>
      <c r="D719" s="10"/>
      <c r="F719" s="8">
        <v>714</v>
      </c>
      <c r="G719" s="5"/>
    </row>
    <row r="720" spans="2:7" ht="15.6" x14ac:dyDescent="0.3">
      <c r="B720" s="8">
        <v>715</v>
      </c>
      <c r="C720" s="5">
        <v>20</v>
      </c>
      <c r="D720" s="10">
        <v>20</v>
      </c>
      <c r="F720" s="8">
        <v>715</v>
      </c>
      <c r="G720" s="5"/>
    </row>
    <row r="721" spans="2:7" ht="15.6" x14ac:dyDescent="0.3">
      <c r="B721" s="8">
        <v>716</v>
      </c>
      <c r="C721" s="5"/>
      <c r="D721" s="10"/>
      <c r="F721" s="8">
        <v>716</v>
      </c>
      <c r="G721" s="5"/>
    </row>
    <row r="722" spans="2:7" ht="15.6" x14ac:dyDescent="0.3">
      <c r="B722" s="8">
        <v>717</v>
      </c>
      <c r="C722" s="5"/>
      <c r="D722" s="10"/>
      <c r="F722" s="8">
        <v>717</v>
      </c>
      <c r="G722" s="5"/>
    </row>
    <row r="723" spans="2:7" ht="15.6" x14ac:dyDescent="0.3">
      <c r="B723" s="8">
        <v>718</v>
      </c>
      <c r="C723" s="5"/>
      <c r="D723" s="10"/>
      <c r="F723" s="8">
        <v>718</v>
      </c>
      <c r="G723" s="5"/>
    </row>
    <row r="724" spans="2:7" ht="15.6" x14ac:dyDescent="0.3">
      <c r="B724" s="8">
        <v>719</v>
      </c>
      <c r="C724" s="5"/>
      <c r="D724" s="10"/>
      <c r="F724" s="8">
        <v>719</v>
      </c>
      <c r="G724" s="5"/>
    </row>
    <row r="725" spans="2:7" ht="15.6" x14ac:dyDescent="0.3">
      <c r="B725" s="8">
        <v>720</v>
      </c>
      <c r="C725" s="5">
        <v>300</v>
      </c>
      <c r="D725" s="10">
        <v>300</v>
      </c>
      <c r="F725" s="8">
        <v>720</v>
      </c>
      <c r="G725" s="5"/>
    </row>
    <row r="726" spans="2:7" ht="15.6" x14ac:dyDescent="0.3">
      <c r="B726" s="8">
        <v>721</v>
      </c>
      <c r="C726" s="5"/>
      <c r="D726" s="10"/>
      <c r="F726" s="8">
        <v>721</v>
      </c>
      <c r="G726" s="5"/>
    </row>
    <row r="727" spans="2:7" ht="15.6" x14ac:dyDescent="0.3">
      <c r="B727" s="8">
        <v>722</v>
      </c>
      <c r="C727" s="5"/>
      <c r="D727" s="10"/>
      <c r="F727" s="8">
        <v>722</v>
      </c>
      <c r="G727" s="5"/>
    </row>
    <row r="728" spans="2:7" ht="15.6" x14ac:dyDescent="0.3">
      <c r="B728" s="8">
        <v>723</v>
      </c>
      <c r="C728" s="5">
        <v>60</v>
      </c>
      <c r="D728" s="10">
        <v>60</v>
      </c>
      <c r="F728" s="8">
        <v>723</v>
      </c>
      <c r="G728" s="5"/>
    </row>
    <row r="729" spans="2:7" ht="15.6" x14ac:dyDescent="0.3">
      <c r="B729" s="8">
        <v>724</v>
      </c>
      <c r="C729" s="5">
        <v>100</v>
      </c>
      <c r="D729" s="10">
        <v>100</v>
      </c>
      <c r="F729" s="8">
        <v>724</v>
      </c>
      <c r="G729" s="5"/>
    </row>
    <row r="730" spans="2:7" ht="15.6" x14ac:dyDescent="0.3">
      <c r="B730" s="8">
        <v>725</v>
      </c>
      <c r="C730" s="5">
        <v>50</v>
      </c>
      <c r="D730" s="10">
        <v>50</v>
      </c>
      <c r="F730" s="8">
        <v>725</v>
      </c>
      <c r="G730" s="5"/>
    </row>
    <row r="731" spans="2:7" ht="15.6" x14ac:dyDescent="0.3">
      <c r="B731" s="8">
        <v>726</v>
      </c>
      <c r="C731" s="5"/>
      <c r="D731" s="10"/>
      <c r="F731" s="8">
        <v>726</v>
      </c>
      <c r="G731" s="5"/>
    </row>
    <row r="732" spans="2:7" ht="15.6" x14ac:dyDescent="0.3">
      <c r="B732" s="8">
        <v>727</v>
      </c>
      <c r="C732" s="5"/>
      <c r="D732" s="10"/>
      <c r="F732" s="8">
        <v>727</v>
      </c>
      <c r="G732" s="5"/>
    </row>
    <row r="733" spans="2:7" ht="15.6" x14ac:dyDescent="0.3">
      <c r="B733" s="8">
        <v>728</v>
      </c>
      <c r="C733" s="5"/>
      <c r="D733" s="10"/>
      <c r="F733" s="8">
        <v>728</v>
      </c>
      <c r="G733" s="5"/>
    </row>
    <row r="734" spans="2:7" ht="15.6" x14ac:dyDescent="0.3">
      <c r="B734" s="8">
        <v>729</v>
      </c>
      <c r="C734" s="5"/>
      <c r="D734" s="10"/>
      <c r="F734" s="8">
        <v>729</v>
      </c>
      <c r="G734" s="5"/>
    </row>
    <row r="735" spans="2:7" ht="15.6" x14ac:dyDescent="0.3">
      <c r="B735" s="8">
        <v>730</v>
      </c>
      <c r="C735" s="5"/>
      <c r="D735" s="10"/>
      <c r="F735" s="8">
        <v>730</v>
      </c>
      <c r="G735" s="5"/>
    </row>
    <row r="736" spans="2:7" ht="15.6" x14ac:dyDescent="0.3">
      <c r="B736" s="8">
        <v>731</v>
      </c>
      <c r="C736" s="5">
        <v>30</v>
      </c>
      <c r="D736" s="10">
        <v>30</v>
      </c>
      <c r="F736" s="8">
        <v>731</v>
      </c>
      <c r="G736" s="5"/>
    </row>
    <row r="737" spans="2:7" ht="15.6" x14ac:dyDescent="0.3">
      <c r="B737" s="8">
        <v>732</v>
      </c>
      <c r="C737" s="5"/>
      <c r="D737" s="10"/>
      <c r="F737" s="8">
        <v>732</v>
      </c>
      <c r="G737" s="5"/>
    </row>
    <row r="738" spans="2:7" ht="15.6" x14ac:dyDescent="0.3">
      <c r="B738" s="8">
        <v>733</v>
      </c>
      <c r="C738" s="5"/>
      <c r="D738" s="10"/>
      <c r="F738" s="8">
        <v>733</v>
      </c>
      <c r="G738" s="5"/>
    </row>
    <row r="739" spans="2:7" ht="15.6" x14ac:dyDescent="0.3">
      <c r="B739" s="8">
        <v>734</v>
      </c>
      <c r="C739" s="5">
        <v>50</v>
      </c>
      <c r="D739" s="10">
        <v>50</v>
      </c>
      <c r="F739" s="8">
        <v>734</v>
      </c>
      <c r="G739" s="5"/>
    </row>
    <row r="740" spans="2:7" ht="15.6" x14ac:dyDescent="0.3">
      <c r="B740" s="8">
        <v>735</v>
      </c>
      <c r="C740" s="5"/>
      <c r="D740" s="10"/>
      <c r="F740" s="8">
        <v>735</v>
      </c>
      <c r="G740" s="5">
        <v>100</v>
      </c>
    </row>
    <row r="741" spans="2:7" ht="15.6" x14ac:dyDescent="0.3">
      <c r="B741" s="8">
        <v>736</v>
      </c>
      <c r="C741" s="5">
        <v>50</v>
      </c>
      <c r="D741" s="10"/>
      <c r="F741" s="8">
        <v>736</v>
      </c>
      <c r="G741" s="5"/>
    </row>
    <row r="742" spans="2:7" ht="15.6" x14ac:dyDescent="0.3">
      <c r="B742" s="8">
        <v>737</v>
      </c>
      <c r="C742" s="5"/>
      <c r="D742" s="10"/>
      <c r="F742" s="8">
        <v>737</v>
      </c>
      <c r="G742" s="5"/>
    </row>
    <row r="743" spans="2:7" ht="15.6" x14ac:dyDescent="0.3">
      <c r="B743" s="8">
        <v>738</v>
      </c>
      <c r="C743" s="5">
        <v>50</v>
      </c>
      <c r="D743" s="10"/>
      <c r="F743" s="8">
        <v>738</v>
      </c>
      <c r="G743" s="5"/>
    </row>
    <row r="744" spans="2:7" ht="15.6" x14ac:dyDescent="0.3">
      <c r="B744" s="8">
        <v>739</v>
      </c>
      <c r="C744" s="5">
        <v>100</v>
      </c>
      <c r="D744" s="10">
        <v>50</v>
      </c>
      <c r="F744" s="8">
        <v>739</v>
      </c>
      <c r="G744" s="5">
        <v>100</v>
      </c>
    </row>
    <row r="745" spans="2:7" ht="15.6" x14ac:dyDescent="0.3">
      <c r="B745" s="8">
        <v>740</v>
      </c>
      <c r="C745" s="5"/>
      <c r="D745" s="10"/>
      <c r="F745" s="8">
        <v>740</v>
      </c>
      <c r="G745" s="5"/>
    </row>
    <row r="746" spans="2:7" ht="15.6" x14ac:dyDescent="0.3">
      <c r="B746" s="8">
        <v>741</v>
      </c>
      <c r="C746" s="5"/>
      <c r="D746" s="10"/>
      <c r="F746" s="8">
        <v>741</v>
      </c>
      <c r="G746" s="5"/>
    </row>
    <row r="747" spans="2:7" ht="15.6" x14ac:dyDescent="0.3">
      <c r="B747" s="8">
        <v>742</v>
      </c>
      <c r="C747" s="5"/>
      <c r="D747" s="10"/>
      <c r="F747" s="8">
        <v>742</v>
      </c>
      <c r="G747" s="5"/>
    </row>
    <row r="748" spans="2:7" ht="15.6" x14ac:dyDescent="0.3">
      <c r="B748" s="8">
        <v>743</v>
      </c>
      <c r="C748" s="5"/>
      <c r="D748" s="10"/>
      <c r="F748" s="8">
        <v>743</v>
      </c>
      <c r="G748" s="5"/>
    </row>
    <row r="749" spans="2:7" ht="15.6" x14ac:dyDescent="0.3">
      <c r="B749" s="8">
        <v>744</v>
      </c>
      <c r="C749" s="5"/>
      <c r="D749" s="10"/>
      <c r="F749" s="8">
        <v>744</v>
      </c>
      <c r="G749" s="5"/>
    </row>
    <row r="750" spans="2:7" ht="15.6" x14ac:dyDescent="0.3">
      <c r="B750" s="8">
        <v>745</v>
      </c>
      <c r="C750" s="5"/>
      <c r="D750" s="10"/>
      <c r="F750" s="8">
        <v>745</v>
      </c>
      <c r="G750" s="5"/>
    </row>
    <row r="751" spans="2:7" ht="15.6" x14ac:dyDescent="0.3">
      <c r="B751" s="8">
        <v>746</v>
      </c>
      <c r="C751" s="5"/>
      <c r="D751" s="10"/>
      <c r="F751" s="8">
        <v>746</v>
      </c>
      <c r="G751" s="5"/>
    </row>
    <row r="752" spans="2:7" ht="15.6" x14ac:dyDescent="0.3">
      <c r="B752" s="8">
        <v>747</v>
      </c>
      <c r="C752" s="5"/>
      <c r="D752" s="10"/>
      <c r="F752" s="8">
        <v>747</v>
      </c>
      <c r="G752" s="5"/>
    </row>
    <row r="753" spans="2:7" ht="15.6" x14ac:dyDescent="0.3">
      <c r="B753" s="8">
        <v>748</v>
      </c>
      <c r="C753" s="5"/>
      <c r="D753" s="10"/>
      <c r="F753" s="8">
        <v>748</v>
      </c>
      <c r="G753" s="5"/>
    </row>
    <row r="754" spans="2:7" ht="15.6" x14ac:dyDescent="0.3">
      <c r="B754" s="8">
        <v>749</v>
      </c>
      <c r="C754" s="5"/>
      <c r="D754" s="10"/>
      <c r="F754" s="8">
        <v>749</v>
      </c>
      <c r="G754" s="5"/>
    </row>
    <row r="755" spans="2:7" ht="15.6" x14ac:dyDescent="0.3">
      <c r="B755" s="8">
        <v>750</v>
      </c>
      <c r="C755" s="5"/>
      <c r="D755" s="10"/>
      <c r="F755" s="8">
        <v>750</v>
      </c>
      <c r="G755" s="5"/>
    </row>
    <row r="756" spans="2:7" ht="15.6" x14ac:dyDescent="0.3">
      <c r="B756" s="8">
        <v>751</v>
      </c>
      <c r="C756" s="5"/>
      <c r="D756" s="10"/>
      <c r="F756" s="8">
        <v>751</v>
      </c>
      <c r="G756" s="5"/>
    </row>
    <row r="757" spans="2:7" ht="15.6" x14ac:dyDescent="0.3">
      <c r="B757" s="8">
        <v>752</v>
      </c>
      <c r="C757" s="5"/>
      <c r="D757" s="10"/>
      <c r="F757" s="8">
        <v>752</v>
      </c>
      <c r="G757" s="5"/>
    </row>
    <row r="758" spans="2:7" ht="15.6" x14ac:dyDescent="0.3">
      <c r="B758" s="8">
        <v>753</v>
      </c>
      <c r="C758" s="5"/>
      <c r="D758" s="10"/>
      <c r="F758" s="8">
        <v>753</v>
      </c>
      <c r="G758" s="5"/>
    </row>
    <row r="759" spans="2:7" ht="15.6" x14ac:dyDescent="0.3">
      <c r="B759" s="8">
        <v>754</v>
      </c>
      <c r="C759" s="5"/>
      <c r="D759" s="10"/>
      <c r="F759" s="8">
        <v>754</v>
      </c>
      <c r="G759" s="5"/>
    </row>
    <row r="760" spans="2:7" ht="15.6" x14ac:dyDescent="0.3">
      <c r="B760" s="8">
        <v>755</v>
      </c>
      <c r="C760" s="5"/>
      <c r="D760" s="10"/>
      <c r="F760" s="8">
        <v>755</v>
      </c>
      <c r="G760" s="5"/>
    </row>
    <row r="761" spans="2:7" ht="15.6" x14ac:dyDescent="0.3">
      <c r="B761" s="8">
        <v>756</v>
      </c>
      <c r="C761" s="5"/>
      <c r="D761" s="10"/>
      <c r="F761" s="8">
        <v>756</v>
      </c>
      <c r="G761" s="5"/>
    </row>
    <row r="762" spans="2:7" ht="15.6" x14ac:dyDescent="0.3">
      <c r="B762" s="8">
        <v>757</v>
      </c>
      <c r="C762" s="5"/>
      <c r="D762" s="10"/>
      <c r="F762" s="8">
        <v>757</v>
      </c>
      <c r="G762" s="5"/>
    </row>
    <row r="763" spans="2:7" ht="15.6" x14ac:dyDescent="0.3">
      <c r="B763" s="8">
        <v>758</v>
      </c>
      <c r="C763" s="5">
        <v>100</v>
      </c>
      <c r="D763" s="10">
        <v>100</v>
      </c>
      <c r="F763" s="8">
        <v>758</v>
      </c>
      <c r="G763" s="5"/>
    </row>
    <row r="764" spans="2:7" ht="15.6" x14ac:dyDescent="0.3">
      <c r="B764" s="8">
        <v>759</v>
      </c>
      <c r="C764" s="5"/>
      <c r="D764" s="10"/>
      <c r="F764" s="8">
        <v>759</v>
      </c>
      <c r="G764" s="5"/>
    </row>
    <row r="765" spans="2:7" ht="15.6" x14ac:dyDescent="0.3">
      <c r="B765" s="8">
        <v>760</v>
      </c>
      <c r="C765" s="5"/>
      <c r="D765" s="10"/>
      <c r="F765" s="8">
        <v>760</v>
      </c>
      <c r="G765" s="5"/>
    </row>
    <row r="766" spans="2:7" ht="15.6" x14ac:dyDescent="0.3">
      <c r="B766" s="8">
        <v>761</v>
      </c>
      <c r="C766" s="5"/>
      <c r="D766" s="10"/>
      <c r="F766" s="8">
        <v>761</v>
      </c>
      <c r="G766" s="5"/>
    </row>
    <row r="767" spans="2:7" ht="15.6" x14ac:dyDescent="0.3">
      <c r="B767" s="8">
        <v>762</v>
      </c>
      <c r="C767" s="5"/>
      <c r="D767" s="10"/>
      <c r="F767" s="8">
        <v>762</v>
      </c>
      <c r="G767" s="5"/>
    </row>
    <row r="768" spans="2:7" ht="15.6" x14ac:dyDescent="0.3">
      <c r="B768" s="8">
        <v>763</v>
      </c>
      <c r="C768" s="5">
        <v>100</v>
      </c>
      <c r="D768" s="10">
        <v>50</v>
      </c>
      <c r="F768" s="8">
        <v>763</v>
      </c>
      <c r="G768" s="5">
        <v>100</v>
      </c>
    </row>
    <row r="769" spans="2:7" ht="15.6" x14ac:dyDescent="0.3">
      <c r="B769" s="8">
        <v>764</v>
      </c>
      <c r="C769" s="5"/>
      <c r="D769" s="10"/>
      <c r="F769" s="8">
        <v>764</v>
      </c>
      <c r="G769" s="5"/>
    </row>
    <row r="770" spans="2:7" ht="15.6" x14ac:dyDescent="0.3">
      <c r="B770" s="8">
        <v>765</v>
      </c>
      <c r="C770" s="5"/>
      <c r="D770" s="10"/>
      <c r="F770" s="8">
        <v>765</v>
      </c>
      <c r="G770" s="5"/>
    </row>
    <row r="771" spans="2:7" ht="15.6" x14ac:dyDescent="0.3">
      <c r="B771" s="8">
        <v>766</v>
      </c>
      <c r="C771" s="5">
        <v>20</v>
      </c>
      <c r="D771" s="10">
        <v>20</v>
      </c>
      <c r="F771" s="8">
        <v>766</v>
      </c>
      <c r="G771" s="5"/>
    </row>
    <row r="772" spans="2:7" ht="15.6" x14ac:dyDescent="0.3">
      <c r="B772" s="8">
        <v>767</v>
      </c>
      <c r="C772" s="5"/>
      <c r="D772" s="10"/>
      <c r="F772" s="8">
        <v>767</v>
      </c>
      <c r="G772" s="5"/>
    </row>
    <row r="773" spans="2:7" ht="15.6" x14ac:dyDescent="0.3">
      <c r="B773" s="8">
        <v>768</v>
      </c>
      <c r="C773" s="5">
        <v>100</v>
      </c>
      <c r="D773" s="10">
        <v>100</v>
      </c>
      <c r="F773" s="8">
        <v>768</v>
      </c>
      <c r="G773" s="5"/>
    </row>
    <row r="774" spans="2:7" ht="15.6" x14ac:dyDescent="0.3">
      <c r="B774" s="8">
        <v>769</v>
      </c>
      <c r="C774" s="5"/>
      <c r="D774" s="10"/>
      <c r="F774" s="8">
        <v>769</v>
      </c>
      <c r="G774" s="5"/>
    </row>
    <row r="775" spans="2:7" ht="15.6" x14ac:dyDescent="0.3">
      <c r="B775" s="8">
        <v>770</v>
      </c>
      <c r="C775" s="5"/>
      <c r="D775" s="10"/>
      <c r="F775" s="8">
        <v>770</v>
      </c>
      <c r="G775" s="5"/>
    </row>
    <row r="776" spans="2:7" ht="15.6" x14ac:dyDescent="0.3">
      <c r="B776" s="8">
        <v>771</v>
      </c>
      <c r="C776" s="5"/>
      <c r="D776" s="10"/>
      <c r="F776" s="8">
        <v>771</v>
      </c>
      <c r="G776" s="5"/>
    </row>
    <row r="777" spans="2:7" ht="15.6" x14ac:dyDescent="0.3">
      <c r="B777" s="8">
        <v>772</v>
      </c>
      <c r="C777" s="5"/>
      <c r="D777" s="10"/>
      <c r="F777" s="8">
        <v>772</v>
      </c>
      <c r="G777" s="5"/>
    </row>
    <row r="778" spans="2:7" ht="15.6" x14ac:dyDescent="0.3">
      <c r="B778" s="8">
        <v>773</v>
      </c>
      <c r="C778" s="5"/>
      <c r="D778" s="10"/>
      <c r="F778" s="8">
        <v>773</v>
      </c>
      <c r="G778" s="5"/>
    </row>
    <row r="779" spans="2:7" ht="15.6" x14ac:dyDescent="0.3">
      <c r="B779" s="8">
        <v>774</v>
      </c>
      <c r="C779" s="5"/>
      <c r="D779" s="10"/>
      <c r="F779" s="8">
        <v>774</v>
      </c>
      <c r="G779" s="5"/>
    </row>
    <row r="780" spans="2:7" ht="15.6" x14ac:dyDescent="0.3">
      <c r="B780" s="8">
        <v>775</v>
      </c>
      <c r="C780" s="5"/>
      <c r="D780" s="10"/>
      <c r="F780" s="8">
        <v>775</v>
      </c>
      <c r="G780" s="5"/>
    </row>
    <row r="781" spans="2:7" ht="15.6" x14ac:dyDescent="0.3">
      <c r="B781" s="8">
        <v>776</v>
      </c>
      <c r="C781" s="5"/>
      <c r="D781" s="10"/>
      <c r="F781" s="8">
        <v>776</v>
      </c>
      <c r="G781" s="5"/>
    </row>
    <row r="782" spans="2:7" ht="15.6" x14ac:dyDescent="0.3">
      <c r="B782" s="8">
        <v>777</v>
      </c>
      <c r="C782" s="5"/>
      <c r="D782" s="10"/>
      <c r="F782" s="8">
        <v>777</v>
      </c>
      <c r="G782" s="5"/>
    </row>
    <row r="783" spans="2:7" ht="15.6" x14ac:dyDescent="0.3">
      <c r="B783" s="8">
        <v>778</v>
      </c>
      <c r="C783" s="5"/>
      <c r="D783" s="10"/>
      <c r="F783" s="8">
        <v>778</v>
      </c>
      <c r="G783" s="5"/>
    </row>
    <row r="784" spans="2:7" ht="15.6" x14ac:dyDescent="0.3">
      <c r="B784" s="8">
        <v>779</v>
      </c>
      <c r="C784" s="5"/>
      <c r="D784" s="10"/>
      <c r="F784" s="8">
        <v>779</v>
      </c>
      <c r="G784" s="5"/>
    </row>
    <row r="785" spans="2:7" ht="15.6" x14ac:dyDescent="0.3">
      <c r="B785" s="8">
        <v>780</v>
      </c>
      <c r="C785" s="5"/>
      <c r="D785" s="10"/>
      <c r="F785" s="8">
        <v>780</v>
      </c>
      <c r="G785" s="5"/>
    </row>
    <row r="786" spans="2:7" ht="15.6" x14ac:dyDescent="0.3">
      <c r="B786" s="8">
        <v>781</v>
      </c>
      <c r="C786" s="5"/>
      <c r="D786" s="10"/>
      <c r="F786" s="8">
        <v>781</v>
      </c>
      <c r="G786" s="5"/>
    </row>
    <row r="787" spans="2:7" ht="15.6" x14ac:dyDescent="0.3">
      <c r="B787" s="8">
        <v>782</v>
      </c>
      <c r="C787" s="5"/>
      <c r="D787" s="10"/>
      <c r="F787" s="8">
        <v>782</v>
      </c>
      <c r="G787" s="5"/>
    </row>
    <row r="788" spans="2:7" ht="15.6" x14ac:dyDescent="0.3">
      <c r="B788" s="8">
        <v>783</v>
      </c>
      <c r="C788" s="5">
        <v>50</v>
      </c>
      <c r="D788" s="10"/>
      <c r="F788" s="8">
        <v>783</v>
      </c>
      <c r="G788" s="5"/>
    </row>
    <row r="789" spans="2:7" ht="15.6" x14ac:dyDescent="0.3">
      <c r="B789" s="8">
        <v>784</v>
      </c>
      <c r="C789" s="5"/>
      <c r="D789" s="10"/>
      <c r="F789" s="8">
        <v>784</v>
      </c>
      <c r="G789" s="5"/>
    </row>
    <row r="790" spans="2:7" ht="15.6" x14ac:dyDescent="0.3">
      <c r="B790" s="8">
        <v>785</v>
      </c>
      <c r="C790" s="5"/>
      <c r="D790" s="10"/>
      <c r="F790" s="8">
        <v>785</v>
      </c>
      <c r="G790" s="5"/>
    </row>
    <row r="791" spans="2:7" ht="15.6" x14ac:dyDescent="0.3">
      <c r="B791" s="8">
        <v>786</v>
      </c>
      <c r="C791" s="5">
        <v>100</v>
      </c>
      <c r="D791" s="10">
        <v>0</v>
      </c>
      <c r="F791" s="8">
        <v>786</v>
      </c>
      <c r="G791" s="5"/>
    </row>
    <row r="792" spans="2:7" ht="15.6" x14ac:dyDescent="0.3">
      <c r="B792" s="8">
        <v>787</v>
      </c>
      <c r="C792" s="5"/>
      <c r="D792" s="10"/>
      <c r="F792" s="8">
        <v>787</v>
      </c>
      <c r="G792" s="5"/>
    </row>
    <row r="793" spans="2:7" ht="15.6" x14ac:dyDescent="0.3">
      <c r="B793" s="8">
        <v>788</v>
      </c>
      <c r="C793" s="5"/>
      <c r="D793" s="10"/>
      <c r="F793" s="8">
        <v>788</v>
      </c>
      <c r="G793" s="5"/>
    </row>
    <row r="794" spans="2:7" ht="15.6" x14ac:dyDescent="0.3">
      <c r="B794" s="8">
        <v>789</v>
      </c>
      <c r="C794" s="5"/>
      <c r="D794" s="10"/>
      <c r="F794" s="8">
        <v>789</v>
      </c>
      <c r="G794" s="5"/>
    </row>
    <row r="795" spans="2:7" ht="15.6" x14ac:dyDescent="0.3">
      <c r="B795" s="8">
        <v>790</v>
      </c>
      <c r="C795" s="5"/>
      <c r="D795" s="10"/>
      <c r="F795" s="8">
        <v>790</v>
      </c>
      <c r="G795" s="5"/>
    </row>
    <row r="796" spans="2:7" ht="15.6" x14ac:dyDescent="0.3">
      <c r="B796" s="8">
        <v>791</v>
      </c>
      <c r="C796" s="5">
        <v>100</v>
      </c>
      <c r="D796" s="10">
        <v>100</v>
      </c>
      <c r="F796" s="8">
        <v>791</v>
      </c>
      <c r="G796" s="5"/>
    </row>
    <row r="797" spans="2:7" ht="15.6" x14ac:dyDescent="0.3">
      <c r="B797" s="8">
        <v>792</v>
      </c>
      <c r="C797" s="5"/>
      <c r="D797" s="10"/>
      <c r="F797" s="8">
        <v>792</v>
      </c>
      <c r="G797" s="5"/>
    </row>
    <row r="798" spans="2:7" ht="15.6" x14ac:dyDescent="0.3">
      <c r="B798" s="8">
        <v>793</v>
      </c>
      <c r="C798" s="5">
        <v>50</v>
      </c>
      <c r="D798" s="10"/>
      <c r="F798" s="8">
        <v>793</v>
      </c>
      <c r="G798" s="5">
        <v>100</v>
      </c>
    </row>
    <row r="799" spans="2:7" ht="15.6" x14ac:dyDescent="0.3">
      <c r="B799" s="8">
        <v>794</v>
      </c>
      <c r="C799" s="5"/>
      <c r="D799" s="10"/>
      <c r="F799" s="8">
        <v>794</v>
      </c>
      <c r="G799" s="5"/>
    </row>
    <row r="800" spans="2:7" ht="15.6" x14ac:dyDescent="0.3">
      <c r="B800" s="8">
        <v>795</v>
      </c>
      <c r="C800" s="5"/>
      <c r="D800" s="10"/>
      <c r="F800" s="8">
        <v>795</v>
      </c>
      <c r="G800" s="5"/>
    </row>
    <row r="801" spans="2:7" ht="15.6" x14ac:dyDescent="0.3">
      <c r="B801" s="8">
        <v>796</v>
      </c>
      <c r="C801" s="5"/>
      <c r="D801" s="10"/>
      <c r="F801" s="8">
        <v>796</v>
      </c>
      <c r="G801" s="5"/>
    </row>
    <row r="802" spans="2:7" ht="15.6" x14ac:dyDescent="0.3">
      <c r="B802" s="8">
        <v>797</v>
      </c>
      <c r="C802" s="5"/>
      <c r="D802" s="10"/>
      <c r="F802" s="8">
        <v>797</v>
      </c>
      <c r="G802" s="5"/>
    </row>
    <row r="803" spans="2:7" ht="15.6" x14ac:dyDescent="0.3">
      <c r="B803" s="8">
        <v>798</v>
      </c>
      <c r="C803" s="5"/>
      <c r="D803" s="10"/>
      <c r="F803" s="8">
        <v>798</v>
      </c>
      <c r="G803" s="5"/>
    </row>
    <row r="804" spans="2:7" ht="15.6" x14ac:dyDescent="0.3">
      <c r="B804" s="8">
        <v>799</v>
      </c>
      <c r="C804" s="5"/>
      <c r="D804" s="10"/>
      <c r="F804" s="8">
        <v>799</v>
      </c>
      <c r="G804" s="5"/>
    </row>
    <row r="805" spans="2:7" ht="15.6" x14ac:dyDescent="0.3">
      <c r="B805" s="8">
        <v>800</v>
      </c>
      <c r="C805" s="5"/>
      <c r="D805" s="10"/>
      <c r="F805" s="8">
        <v>800</v>
      </c>
      <c r="G805" s="5"/>
    </row>
    <row r="806" spans="2:7" ht="15.6" x14ac:dyDescent="0.3">
      <c r="B806" s="8">
        <v>801</v>
      </c>
      <c r="C806" s="5"/>
      <c r="D806" s="10"/>
      <c r="F806" s="8">
        <v>801</v>
      </c>
      <c r="G806" s="5"/>
    </row>
    <row r="807" spans="2:7" ht="15.6" x14ac:dyDescent="0.3">
      <c r="B807" s="8">
        <v>802</v>
      </c>
      <c r="C807" s="5"/>
      <c r="D807" s="10"/>
      <c r="F807" s="8">
        <v>802</v>
      </c>
      <c r="G807" s="5"/>
    </row>
    <row r="808" spans="2:7" ht="15.6" x14ac:dyDescent="0.3">
      <c r="B808" s="8">
        <v>803</v>
      </c>
      <c r="C808" s="5"/>
      <c r="D808" s="10"/>
      <c r="F808" s="8">
        <v>803</v>
      </c>
      <c r="G808" s="5"/>
    </row>
    <row r="809" spans="2:7" ht="15.6" x14ac:dyDescent="0.3">
      <c r="B809" s="8">
        <v>804</v>
      </c>
      <c r="C809" s="5"/>
      <c r="D809" s="10"/>
      <c r="F809" s="8">
        <v>804</v>
      </c>
      <c r="G809" s="5"/>
    </row>
    <row r="810" spans="2:7" ht="15.6" x14ac:dyDescent="0.3">
      <c r="B810" s="8">
        <v>805</v>
      </c>
      <c r="C810" s="5"/>
      <c r="D810" s="10"/>
      <c r="F810" s="8">
        <v>805</v>
      </c>
      <c r="G810" s="5"/>
    </row>
    <row r="811" spans="2:7" ht="15.6" x14ac:dyDescent="0.3">
      <c r="B811" s="8">
        <v>806</v>
      </c>
      <c r="C811" s="5"/>
      <c r="D811" s="10"/>
      <c r="F811" s="8">
        <v>806</v>
      </c>
      <c r="G811" s="5"/>
    </row>
    <row r="812" spans="2:7" ht="15.6" x14ac:dyDescent="0.3">
      <c r="B812" s="8">
        <v>807</v>
      </c>
      <c r="C812" s="5"/>
      <c r="D812" s="10"/>
      <c r="F812" s="8">
        <v>807</v>
      </c>
      <c r="G812" s="5"/>
    </row>
    <row r="813" spans="2:7" ht="15.6" x14ac:dyDescent="0.3">
      <c r="B813" s="8">
        <v>808</v>
      </c>
      <c r="C813" s="5"/>
      <c r="D813" s="10"/>
      <c r="F813" s="8">
        <v>808</v>
      </c>
      <c r="G813" s="5"/>
    </row>
    <row r="814" spans="2:7" ht="15.6" x14ac:dyDescent="0.3">
      <c r="B814" s="8">
        <v>809</v>
      </c>
      <c r="C814" s="5"/>
      <c r="D814" s="10"/>
      <c r="F814" s="8">
        <v>809</v>
      </c>
      <c r="G814" s="5"/>
    </row>
    <row r="815" spans="2:7" ht="15.6" x14ac:dyDescent="0.3">
      <c r="B815" s="8">
        <v>810</v>
      </c>
      <c r="C815" s="5"/>
      <c r="D815" s="10"/>
      <c r="F815" s="8">
        <v>810</v>
      </c>
      <c r="G815" s="5"/>
    </row>
    <row r="816" spans="2:7" ht="15.6" x14ac:dyDescent="0.3">
      <c r="B816" s="8">
        <v>811</v>
      </c>
      <c r="C816" s="5"/>
      <c r="D816" s="10"/>
      <c r="F816" s="8">
        <v>811</v>
      </c>
      <c r="G816" s="5"/>
    </row>
    <row r="817" spans="2:7" ht="15.6" x14ac:dyDescent="0.3">
      <c r="B817" s="8">
        <v>812</v>
      </c>
      <c r="C817" s="5"/>
      <c r="D817" s="10"/>
      <c r="F817" s="8">
        <v>812</v>
      </c>
      <c r="G817" s="5"/>
    </row>
    <row r="818" spans="2:7" ht="15.6" x14ac:dyDescent="0.3">
      <c r="B818" s="8">
        <v>813</v>
      </c>
      <c r="C818" s="5"/>
      <c r="D818" s="10"/>
      <c r="F818" s="8">
        <v>813</v>
      </c>
      <c r="G818" s="5"/>
    </row>
    <row r="819" spans="2:7" ht="15.6" x14ac:dyDescent="0.3">
      <c r="B819" s="8">
        <v>814</v>
      </c>
      <c r="C819" s="5"/>
      <c r="D819" s="10"/>
      <c r="F819" s="8">
        <v>814</v>
      </c>
      <c r="G819" s="5"/>
    </row>
    <row r="820" spans="2:7" ht="15.6" x14ac:dyDescent="0.3">
      <c r="B820" s="8">
        <v>815</v>
      </c>
      <c r="C820" s="5">
        <v>50</v>
      </c>
      <c r="D820" s="10">
        <v>50</v>
      </c>
      <c r="F820" s="8">
        <v>815</v>
      </c>
      <c r="G820" s="5"/>
    </row>
    <row r="821" spans="2:7" ht="15.6" x14ac:dyDescent="0.3">
      <c r="B821" s="8">
        <v>816</v>
      </c>
      <c r="C821" s="5"/>
      <c r="D821" s="10"/>
      <c r="F821" s="8">
        <v>816</v>
      </c>
      <c r="G821" s="5"/>
    </row>
    <row r="822" spans="2:7" ht="15.6" x14ac:dyDescent="0.3">
      <c r="B822" s="8">
        <v>817</v>
      </c>
      <c r="C822" s="5"/>
      <c r="D822" s="10"/>
      <c r="F822" s="8">
        <v>817</v>
      </c>
      <c r="G822" s="5"/>
    </row>
    <row r="823" spans="2:7" ht="15.6" x14ac:dyDescent="0.3">
      <c r="B823" s="8">
        <v>818</v>
      </c>
      <c r="C823" s="5"/>
      <c r="D823" s="10"/>
      <c r="F823" s="8">
        <v>818</v>
      </c>
      <c r="G823" s="5"/>
    </row>
    <row r="824" spans="2:7" ht="15.6" x14ac:dyDescent="0.3">
      <c r="B824" s="8">
        <v>819</v>
      </c>
      <c r="C824" s="5"/>
      <c r="D824" s="10"/>
      <c r="F824" s="8">
        <v>819</v>
      </c>
      <c r="G824" s="5"/>
    </row>
    <row r="825" spans="2:7" ht="15.6" x14ac:dyDescent="0.3">
      <c r="B825" s="8">
        <v>820</v>
      </c>
      <c r="C825" s="5"/>
      <c r="D825" s="10"/>
      <c r="F825" s="8">
        <v>820</v>
      </c>
      <c r="G825" s="5"/>
    </row>
    <row r="826" spans="2:7" ht="15.6" x14ac:dyDescent="0.3">
      <c r="B826" s="8">
        <v>821</v>
      </c>
      <c r="C826" s="5"/>
      <c r="D826" s="10"/>
      <c r="F826" s="8">
        <v>821</v>
      </c>
      <c r="G826" s="5"/>
    </row>
    <row r="827" spans="2:7" ht="15.6" x14ac:dyDescent="0.3">
      <c r="B827" s="8">
        <v>822</v>
      </c>
      <c r="C827" s="5"/>
      <c r="D827" s="10"/>
      <c r="F827" s="8">
        <v>822</v>
      </c>
      <c r="G827" s="5"/>
    </row>
    <row r="828" spans="2:7" ht="15.6" x14ac:dyDescent="0.3">
      <c r="B828" s="8">
        <v>823</v>
      </c>
      <c r="C828" s="5"/>
      <c r="D828" s="10"/>
      <c r="F828" s="8">
        <v>823</v>
      </c>
      <c r="G828" s="5"/>
    </row>
    <row r="829" spans="2:7" ht="15.6" x14ac:dyDescent="0.3">
      <c r="B829" s="8">
        <v>824</v>
      </c>
      <c r="C829" s="5">
        <v>100</v>
      </c>
      <c r="D829" s="10">
        <v>100</v>
      </c>
      <c r="F829" s="8">
        <v>824</v>
      </c>
      <c r="G829" s="5"/>
    </row>
    <row r="830" spans="2:7" ht="15.6" x14ac:dyDescent="0.3">
      <c r="B830" s="8">
        <v>825</v>
      </c>
      <c r="C830" s="5"/>
      <c r="D830" s="10"/>
      <c r="F830" s="8">
        <v>825</v>
      </c>
      <c r="G830" s="5"/>
    </row>
    <row r="831" spans="2:7" ht="15.6" x14ac:dyDescent="0.3">
      <c r="B831" s="8">
        <v>826</v>
      </c>
      <c r="C831" s="5"/>
      <c r="D831" s="10"/>
      <c r="F831" s="8">
        <v>826</v>
      </c>
      <c r="G831" s="5"/>
    </row>
    <row r="832" spans="2:7" ht="15.6" x14ac:dyDescent="0.3">
      <c r="B832" s="8">
        <v>827</v>
      </c>
      <c r="C832" s="5"/>
      <c r="D832" s="10"/>
      <c r="F832" s="8">
        <v>827</v>
      </c>
      <c r="G832" s="5"/>
    </row>
    <row r="833" spans="2:7" ht="15.6" x14ac:dyDescent="0.3">
      <c r="B833" s="8">
        <v>828</v>
      </c>
      <c r="C833" s="5"/>
      <c r="D833" s="10"/>
      <c r="F833" s="8">
        <v>828</v>
      </c>
      <c r="G833" s="5"/>
    </row>
    <row r="834" spans="2:7" ht="15.6" x14ac:dyDescent="0.3">
      <c r="B834" s="8">
        <v>829</v>
      </c>
      <c r="C834" s="5"/>
      <c r="D834" s="10"/>
      <c r="F834" s="8">
        <v>829</v>
      </c>
      <c r="G834" s="5"/>
    </row>
    <row r="835" spans="2:7" ht="15.6" x14ac:dyDescent="0.3">
      <c r="B835" s="8">
        <v>830</v>
      </c>
      <c r="C835" s="5"/>
      <c r="D835" s="10"/>
      <c r="F835" s="8">
        <v>830</v>
      </c>
      <c r="G835" s="5"/>
    </row>
    <row r="836" spans="2:7" ht="15.6" x14ac:dyDescent="0.3">
      <c r="B836" s="8">
        <v>831</v>
      </c>
      <c r="C836" s="5"/>
      <c r="D836" s="10"/>
      <c r="F836" s="8">
        <v>831</v>
      </c>
      <c r="G836" s="5"/>
    </row>
    <row r="837" spans="2:7" ht="15.6" x14ac:dyDescent="0.3">
      <c r="B837" s="8">
        <v>832</v>
      </c>
      <c r="C837" s="5"/>
      <c r="D837" s="10"/>
      <c r="F837" s="8">
        <v>832</v>
      </c>
      <c r="G837" s="5"/>
    </row>
    <row r="838" spans="2:7" ht="15.6" x14ac:dyDescent="0.3">
      <c r="B838" s="8">
        <v>833</v>
      </c>
      <c r="C838" s="5"/>
      <c r="D838" s="10"/>
      <c r="F838" s="8">
        <v>833</v>
      </c>
      <c r="G838" s="5"/>
    </row>
    <row r="839" spans="2:7" ht="15.6" x14ac:dyDescent="0.3">
      <c r="B839" s="8">
        <v>834</v>
      </c>
      <c r="C839" s="5"/>
      <c r="D839" s="10"/>
      <c r="F839" s="8">
        <v>834</v>
      </c>
      <c r="G839" s="5"/>
    </row>
    <row r="840" spans="2:7" ht="15.6" x14ac:dyDescent="0.3">
      <c r="B840" s="8">
        <v>835</v>
      </c>
      <c r="C840" s="5"/>
      <c r="D840" s="10"/>
      <c r="F840" s="8">
        <v>835</v>
      </c>
      <c r="G840" s="5"/>
    </row>
    <row r="841" spans="2:7" ht="15.6" x14ac:dyDescent="0.3">
      <c r="B841" s="8">
        <v>836</v>
      </c>
      <c r="C841" s="5"/>
      <c r="D841" s="10"/>
      <c r="F841" s="8">
        <v>836</v>
      </c>
      <c r="G841" s="5"/>
    </row>
    <row r="842" spans="2:7" ht="15.6" x14ac:dyDescent="0.3">
      <c r="B842" s="8">
        <v>837</v>
      </c>
      <c r="C842" s="5">
        <v>50</v>
      </c>
      <c r="D842" s="10"/>
      <c r="F842" s="8">
        <v>837</v>
      </c>
      <c r="G842" s="5"/>
    </row>
    <row r="843" spans="2:7" ht="15.6" x14ac:dyDescent="0.3">
      <c r="B843" s="8">
        <v>838</v>
      </c>
      <c r="C843" s="5"/>
      <c r="D843" s="10"/>
      <c r="F843" s="8">
        <v>838</v>
      </c>
      <c r="G843" s="5"/>
    </row>
    <row r="844" spans="2:7" ht="15.6" x14ac:dyDescent="0.3">
      <c r="B844" s="8">
        <v>839</v>
      </c>
      <c r="C844" s="5"/>
      <c r="D844" s="10"/>
      <c r="F844" s="8">
        <v>839</v>
      </c>
      <c r="G844" s="5"/>
    </row>
    <row r="845" spans="2:7" ht="15.6" x14ac:dyDescent="0.3">
      <c r="B845" s="8">
        <v>840</v>
      </c>
      <c r="C845" s="5"/>
      <c r="D845" s="10"/>
      <c r="F845" s="8">
        <v>840</v>
      </c>
      <c r="G845" s="5"/>
    </row>
    <row r="846" spans="2:7" ht="15.6" x14ac:dyDescent="0.3">
      <c r="B846" s="8">
        <v>841</v>
      </c>
      <c r="C846" s="5"/>
      <c r="D846" s="10"/>
      <c r="F846" s="8">
        <v>841</v>
      </c>
      <c r="G846" s="5"/>
    </row>
    <row r="847" spans="2:7" ht="15.6" x14ac:dyDescent="0.3">
      <c r="B847" s="8">
        <v>842</v>
      </c>
      <c r="C847" s="5"/>
      <c r="D847" s="10"/>
      <c r="F847" s="8">
        <v>842</v>
      </c>
      <c r="G847" s="5"/>
    </row>
    <row r="848" spans="2:7" ht="15.6" x14ac:dyDescent="0.3">
      <c r="B848" s="8">
        <v>843</v>
      </c>
      <c r="C848" s="5"/>
      <c r="D848" s="10"/>
      <c r="F848" s="8">
        <v>843</v>
      </c>
      <c r="G848" s="5"/>
    </row>
    <row r="849" spans="2:7" ht="15.6" x14ac:dyDescent="0.3">
      <c r="B849" s="8">
        <v>844</v>
      </c>
      <c r="C849" s="5"/>
      <c r="D849" s="10"/>
      <c r="F849" s="8">
        <v>844</v>
      </c>
      <c r="G849" s="5"/>
    </row>
    <row r="850" spans="2:7" ht="15.6" x14ac:dyDescent="0.3">
      <c r="B850" s="8">
        <v>845</v>
      </c>
      <c r="C850" s="5"/>
      <c r="D850" s="10"/>
      <c r="F850" s="8">
        <v>845</v>
      </c>
      <c r="G850" s="5"/>
    </row>
    <row r="851" spans="2:7" ht="15.6" x14ac:dyDescent="0.3">
      <c r="B851" s="8">
        <v>846</v>
      </c>
      <c r="C851" s="5"/>
      <c r="D851" s="10"/>
      <c r="F851" s="8">
        <v>846</v>
      </c>
      <c r="G851" s="5"/>
    </row>
    <row r="852" spans="2:7" ht="15.6" x14ac:dyDescent="0.3">
      <c r="B852" s="8">
        <v>847</v>
      </c>
      <c r="C852" s="5"/>
      <c r="D852" s="10"/>
      <c r="F852" s="8">
        <v>847</v>
      </c>
      <c r="G852" s="5"/>
    </row>
    <row r="853" spans="2:7" ht="15.6" x14ac:dyDescent="0.3">
      <c r="B853" s="8">
        <v>848</v>
      </c>
      <c r="C853" s="5"/>
      <c r="D853" s="10"/>
      <c r="F853" s="8">
        <v>848</v>
      </c>
      <c r="G853" s="5"/>
    </row>
    <row r="854" spans="2:7" ht="15.6" x14ac:dyDescent="0.3">
      <c r="B854" s="8">
        <v>849</v>
      </c>
      <c r="C854" s="5"/>
      <c r="D854" s="10"/>
      <c r="F854" s="8">
        <v>849</v>
      </c>
      <c r="G854" s="5"/>
    </row>
    <row r="855" spans="2:7" ht="15.6" x14ac:dyDescent="0.3">
      <c r="B855" s="8">
        <v>850</v>
      </c>
      <c r="C855" s="5"/>
      <c r="D855" s="10"/>
      <c r="F855" s="8">
        <v>850</v>
      </c>
      <c r="G855" s="5"/>
    </row>
    <row r="856" spans="2:7" ht="15.6" x14ac:dyDescent="0.3">
      <c r="B856" s="8">
        <v>851</v>
      </c>
      <c r="C856" s="5">
        <v>50</v>
      </c>
      <c r="D856" s="10">
        <v>50</v>
      </c>
      <c r="F856" s="8">
        <v>851</v>
      </c>
      <c r="G856" s="5"/>
    </row>
    <row r="857" spans="2:7" ht="15.6" x14ac:dyDescent="0.3">
      <c r="B857" s="8">
        <v>852</v>
      </c>
      <c r="C857" s="5"/>
      <c r="D857" s="10"/>
      <c r="F857" s="8">
        <v>852</v>
      </c>
      <c r="G857" s="5"/>
    </row>
    <row r="858" spans="2:7" ht="15.6" x14ac:dyDescent="0.3">
      <c r="B858" s="8">
        <v>853</v>
      </c>
      <c r="C858" s="5"/>
      <c r="D858" s="10"/>
      <c r="F858" s="8">
        <v>853</v>
      </c>
      <c r="G858" s="5"/>
    </row>
    <row r="859" spans="2:7" ht="15.6" x14ac:dyDescent="0.3">
      <c r="B859" s="8">
        <v>854</v>
      </c>
      <c r="C859" s="5"/>
      <c r="D859" s="10"/>
      <c r="F859" s="8">
        <v>854</v>
      </c>
      <c r="G859" s="5"/>
    </row>
    <row r="860" spans="2:7" ht="15.6" x14ac:dyDescent="0.3">
      <c r="B860" s="8">
        <v>855</v>
      </c>
      <c r="C860" s="5">
        <v>100</v>
      </c>
      <c r="D860" s="10">
        <v>100</v>
      </c>
      <c r="F860" s="8">
        <v>855</v>
      </c>
      <c r="G860" s="5"/>
    </row>
    <row r="861" spans="2:7" ht="15.6" x14ac:dyDescent="0.3">
      <c r="B861" s="8">
        <v>856</v>
      </c>
      <c r="C861" s="5">
        <v>50</v>
      </c>
      <c r="D861" s="10">
        <v>50</v>
      </c>
      <c r="F861" s="8">
        <v>856</v>
      </c>
      <c r="G861" s="5"/>
    </row>
    <row r="862" spans="2:7" ht="15.6" x14ac:dyDescent="0.3">
      <c r="B862" s="8">
        <v>857</v>
      </c>
      <c r="C862" s="5">
        <v>20</v>
      </c>
      <c r="D862" s="10">
        <v>20</v>
      </c>
      <c r="F862" s="8">
        <v>857</v>
      </c>
      <c r="G862" s="5"/>
    </row>
    <row r="863" spans="2:7" ht="15.6" x14ac:dyDescent="0.3">
      <c r="B863" s="8">
        <v>858</v>
      </c>
      <c r="C863" s="5"/>
      <c r="D863" s="10"/>
      <c r="F863" s="8">
        <v>858</v>
      </c>
      <c r="G863" s="5"/>
    </row>
    <row r="864" spans="2:7" ht="15.6" x14ac:dyDescent="0.3">
      <c r="B864" s="8">
        <v>859</v>
      </c>
      <c r="C864" s="5">
        <v>50</v>
      </c>
      <c r="D864" s="10">
        <v>50</v>
      </c>
      <c r="F864" s="8">
        <v>859</v>
      </c>
      <c r="G864" s="5"/>
    </row>
    <row r="865" spans="2:7" ht="15.6" x14ac:dyDescent="0.3">
      <c r="B865" s="8">
        <v>860</v>
      </c>
      <c r="C865" s="5"/>
      <c r="D865" s="10"/>
      <c r="F865" s="8">
        <v>860</v>
      </c>
      <c r="G865" s="5"/>
    </row>
    <row r="866" spans="2:7" ht="15.6" x14ac:dyDescent="0.3">
      <c r="B866" s="8">
        <v>861</v>
      </c>
      <c r="C866" s="5"/>
      <c r="D866" s="10"/>
      <c r="F866" s="8">
        <v>861</v>
      </c>
      <c r="G866" s="5"/>
    </row>
    <row r="867" spans="2:7" ht="15.6" x14ac:dyDescent="0.3">
      <c r="B867" s="8">
        <v>862</v>
      </c>
      <c r="C867" s="5"/>
      <c r="D867" s="10"/>
      <c r="F867" s="8">
        <v>862</v>
      </c>
      <c r="G867" s="5"/>
    </row>
    <row r="868" spans="2:7" ht="15.6" x14ac:dyDescent="0.3">
      <c r="B868" s="8">
        <v>863</v>
      </c>
      <c r="C868" s="5">
        <v>200</v>
      </c>
      <c r="D868" s="10">
        <v>200</v>
      </c>
      <c r="F868" s="8">
        <v>863</v>
      </c>
      <c r="G868" s="5"/>
    </row>
    <row r="869" spans="2:7" ht="15.6" x14ac:dyDescent="0.3">
      <c r="B869" s="8">
        <v>864</v>
      </c>
      <c r="C869" s="5"/>
      <c r="D869" s="10"/>
      <c r="F869" s="8">
        <v>864</v>
      </c>
      <c r="G869" s="5"/>
    </row>
    <row r="870" spans="2:7" ht="15.6" x14ac:dyDescent="0.3">
      <c r="B870" s="8">
        <v>865</v>
      </c>
      <c r="C870" s="5">
        <v>50</v>
      </c>
      <c r="D870" s="10">
        <v>50</v>
      </c>
      <c r="F870" s="8">
        <v>865</v>
      </c>
      <c r="G870" s="5"/>
    </row>
    <row r="871" spans="2:7" ht="15.6" x14ac:dyDescent="0.3">
      <c r="B871" s="8">
        <v>866</v>
      </c>
      <c r="C871" s="5">
        <v>30</v>
      </c>
      <c r="D871" s="10">
        <v>30</v>
      </c>
      <c r="F871" s="8">
        <v>866</v>
      </c>
      <c r="G871" s="5"/>
    </row>
    <row r="872" spans="2:7" ht="15.6" x14ac:dyDescent="0.3">
      <c r="B872" s="8">
        <v>867</v>
      </c>
      <c r="C872" s="5">
        <v>20</v>
      </c>
      <c r="D872" s="10">
        <v>20</v>
      </c>
      <c r="F872" s="8">
        <v>867</v>
      </c>
      <c r="G872" s="5"/>
    </row>
    <row r="873" spans="2:7" ht="15.6" x14ac:dyDescent="0.3">
      <c r="B873" s="8">
        <v>868</v>
      </c>
      <c r="C873" s="5"/>
      <c r="D873" s="10"/>
      <c r="F873" s="8">
        <v>868</v>
      </c>
      <c r="G873" s="5"/>
    </row>
    <row r="874" spans="2:7" ht="15.6" x14ac:dyDescent="0.3">
      <c r="B874" s="8">
        <v>869</v>
      </c>
      <c r="C874" s="5">
        <v>20</v>
      </c>
      <c r="D874" s="10">
        <v>20</v>
      </c>
      <c r="F874" s="8">
        <v>869</v>
      </c>
      <c r="G874" s="5"/>
    </row>
    <row r="875" spans="2:7" ht="15.6" x14ac:dyDescent="0.3">
      <c r="B875" s="8">
        <v>870</v>
      </c>
      <c r="C875" s="5"/>
      <c r="D875" s="10"/>
      <c r="F875" s="8">
        <v>870</v>
      </c>
      <c r="G875" s="5"/>
    </row>
    <row r="876" spans="2:7" ht="15.6" x14ac:dyDescent="0.3">
      <c r="B876" s="8">
        <v>871</v>
      </c>
      <c r="C876" s="5"/>
      <c r="D876" s="10"/>
      <c r="F876" s="8">
        <v>871</v>
      </c>
      <c r="G876" s="5"/>
    </row>
    <row r="877" spans="2:7" ht="15.6" x14ac:dyDescent="0.3">
      <c r="B877" s="8">
        <v>872</v>
      </c>
      <c r="C877" s="5"/>
      <c r="D877" s="10"/>
      <c r="F877" s="8">
        <v>872</v>
      </c>
      <c r="G877" s="5"/>
    </row>
    <row r="878" spans="2:7" ht="15.6" x14ac:dyDescent="0.3">
      <c r="B878" s="8">
        <v>873</v>
      </c>
      <c r="C878" s="5">
        <v>50</v>
      </c>
      <c r="D878" s="10"/>
      <c r="F878" s="8">
        <v>873</v>
      </c>
      <c r="G878" s="5"/>
    </row>
    <row r="879" spans="2:7" ht="15.6" x14ac:dyDescent="0.3">
      <c r="B879" s="8">
        <v>874</v>
      </c>
      <c r="C879" s="5"/>
      <c r="D879" s="10"/>
      <c r="F879" s="8">
        <v>874</v>
      </c>
      <c r="G879" s="5"/>
    </row>
    <row r="880" spans="2:7" ht="15.6" x14ac:dyDescent="0.3">
      <c r="B880" s="8">
        <v>875</v>
      </c>
      <c r="C880" s="5">
        <v>20</v>
      </c>
      <c r="D880" s="10">
        <v>20</v>
      </c>
      <c r="F880" s="8">
        <v>875</v>
      </c>
      <c r="G880" s="5"/>
    </row>
    <row r="881" spans="2:7" ht="15.6" x14ac:dyDescent="0.3">
      <c r="B881" s="8">
        <v>876</v>
      </c>
      <c r="C881" s="5">
        <v>100</v>
      </c>
      <c r="D881" s="10">
        <v>100</v>
      </c>
      <c r="F881" s="8">
        <v>876</v>
      </c>
      <c r="G881" s="5"/>
    </row>
    <row r="882" spans="2:7" ht="15.6" x14ac:dyDescent="0.3">
      <c r="B882" s="8">
        <v>877</v>
      </c>
      <c r="C882" s="5"/>
      <c r="D882" s="10"/>
      <c r="F882" s="8">
        <v>877</v>
      </c>
      <c r="G882" s="5"/>
    </row>
    <row r="883" spans="2:7" ht="15.6" x14ac:dyDescent="0.3">
      <c r="B883" s="8">
        <v>878</v>
      </c>
      <c r="C883" s="5"/>
      <c r="D883" s="10"/>
      <c r="F883" s="8">
        <v>878</v>
      </c>
      <c r="G883" s="5"/>
    </row>
    <row r="884" spans="2:7" ht="15.6" x14ac:dyDescent="0.3">
      <c r="B884" s="8">
        <v>879</v>
      </c>
      <c r="C884" s="5"/>
      <c r="D884" s="10"/>
      <c r="F884" s="8">
        <v>879</v>
      </c>
      <c r="G884" s="5"/>
    </row>
    <row r="885" spans="2:7" ht="15.6" x14ac:dyDescent="0.3">
      <c r="B885" s="8">
        <v>880</v>
      </c>
      <c r="C885" s="5"/>
      <c r="D885" s="10"/>
      <c r="F885" s="8">
        <v>880</v>
      </c>
      <c r="G885" s="5"/>
    </row>
    <row r="886" spans="2:7" ht="15.6" x14ac:dyDescent="0.3">
      <c r="B886" s="8">
        <v>881</v>
      </c>
      <c r="C886" s="5"/>
      <c r="D886" s="10"/>
      <c r="F886" s="8">
        <v>881</v>
      </c>
      <c r="G886" s="5"/>
    </row>
    <row r="887" spans="2:7" ht="15.6" x14ac:dyDescent="0.3">
      <c r="B887" s="8">
        <v>882</v>
      </c>
      <c r="C887" s="5"/>
      <c r="D887" s="10"/>
      <c r="F887" s="8">
        <v>882</v>
      </c>
      <c r="G887" s="5"/>
    </row>
    <row r="888" spans="2:7" ht="15.6" x14ac:dyDescent="0.3">
      <c r="B888" s="8">
        <v>883</v>
      </c>
      <c r="C888" s="5"/>
      <c r="D888" s="10"/>
      <c r="F888" s="8">
        <v>883</v>
      </c>
      <c r="G888" s="5"/>
    </row>
    <row r="889" spans="2:7" ht="15.6" x14ac:dyDescent="0.3">
      <c r="B889" s="8">
        <v>884</v>
      </c>
      <c r="C889" s="5"/>
      <c r="D889" s="10"/>
      <c r="F889" s="8">
        <v>884</v>
      </c>
      <c r="G889" s="5"/>
    </row>
    <row r="890" spans="2:7" ht="15.6" x14ac:dyDescent="0.3">
      <c r="B890" s="8">
        <v>885</v>
      </c>
      <c r="C890" s="5"/>
      <c r="D890" s="10"/>
      <c r="F890" s="8">
        <v>885</v>
      </c>
      <c r="G890" s="5"/>
    </row>
    <row r="891" spans="2:7" ht="15.6" x14ac:dyDescent="0.3">
      <c r="B891" s="8">
        <v>886</v>
      </c>
      <c r="C891" s="5"/>
      <c r="D891" s="10"/>
      <c r="F891" s="8">
        <v>886</v>
      </c>
      <c r="G891" s="5"/>
    </row>
    <row r="892" spans="2:7" ht="15.6" x14ac:dyDescent="0.3">
      <c r="B892" s="8">
        <v>887</v>
      </c>
      <c r="C892" s="5"/>
      <c r="D892" s="10"/>
      <c r="F892" s="8">
        <v>887</v>
      </c>
      <c r="G892" s="5"/>
    </row>
    <row r="893" spans="2:7" ht="15.6" x14ac:dyDescent="0.3">
      <c r="B893" s="8">
        <v>888</v>
      </c>
      <c r="C893" s="5"/>
      <c r="D893" s="10"/>
      <c r="F893" s="8">
        <v>888</v>
      </c>
      <c r="G893" s="5"/>
    </row>
    <row r="894" spans="2:7" ht="15.6" x14ac:dyDescent="0.3">
      <c r="B894" s="8">
        <v>889</v>
      </c>
      <c r="C894" s="5"/>
      <c r="D894" s="10"/>
      <c r="F894" s="8">
        <v>889</v>
      </c>
      <c r="G894" s="5"/>
    </row>
    <row r="895" spans="2:7" ht="15.6" x14ac:dyDescent="0.3">
      <c r="B895" s="8">
        <v>890</v>
      </c>
      <c r="C895" s="5"/>
      <c r="D895" s="10"/>
      <c r="F895" s="8">
        <v>890</v>
      </c>
      <c r="G895" s="5"/>
    </row>
    <row r="896" spans="2:7" ht="15.6" x14ac:dyDescent="0.3">
      <c r="B896" s="8">
        <v>891</v>
      </c>
      <c r="C896" s="5">
        <v>100</v>
      </c>
      <c r="D896" s="10">
        <v>100</v>
      </c>
      <c r="F896" s="8">
        <v>891</v>
      </c>
      <c r="G896" s="5"/>
    </row>
    <row r="897" spans="2:7" ht="15.6" x14ac:dyDescent="0.3">
      <c r="B897" s="8">
        <v>892</v>
      </c>
      <c r="C897" s="5">
        <v>20</v>
      </c>
      <c r="D897" s="10">
        <v>20</v>
      </c>
      <c r="F897" s="8">
        <v>892</v>
      </c>
      <c r="G897" s="5"/>
    </row>
    <row r="898" spans="2:7" ht="15.6" x14ac:dyDescent="0.3">
      <c r="B898" s="8">
        <v>893</v>
      </c>
      <c r="C898" s="5"/>
      <c r="D898" s="10"/>
      <c r="F898" s="8">
        <v>893</v>
      </c>
      <c r="G898" s="5"/>
    </row>
    <row r="899" spans="2:7" ht="15.6" x14ac:dyDescent="0.3">
      <c r="B899" s="8">
        <v>894</v>
      </c>
      <c r="C899" s="5"/>
      <c r="D899" s="10"/>
      <c r="F899" s="8">
        <v>894</v>
      </c>
      <c r="G899" s="5">
        <v>50</v>
      </c>
    </row>
    <row r="900" spans="2:7" ht="15.6" x14ac:dyDescent="0.3">
      <c r="B900" s="8">
        <v>895</v>
      </c>
      <c r="C900" s="5">
        <v>50</v>
      </c>
      <c r="D900" s="10">
        <v>50</v>
      </c>
      <c r="F900" s="8">
        <v>895</v>
      </c>
      <c r="G900" s="5"/>
    </row>
    <row r="901" spans="2:7" ht="15.6" x14ac:dyDescent="0.3">
      <c r="B901" s="8">
        <v>896</v>
      </c>
      <c r="C901" s="5"/>
      <c r="D901" s="10"/>
      <c r="F901" s="8">
        <v>896</v>
      </c>
      <c r="G901" s="5"/>
    </row>
    <row r="902" spans="2:7" ht="15.6" x14ac:dyDescent="0.3">
      <c r="B902" s="8">
        <v>897</v>
      </c>
      <c r="C902" s="5"/>
      <c r="D902" s="10"/>
      <c r="F902" s="8">
        <v>897</v>
      </c>
      <c r="G902" s="5"/>
    </row>
    <row r="903" spans="2:7" ht="15.6" x14ac:dyDescent="0.3">
      <c r="B903" s="8">
        <v>898</v>
      </c>
      <c r="C903" s="5"/>
      <c r="D903" s="10"/>
      <c r="F903" s="8">
        <v>898</v>
      </c>
      <c r="G903" s="5"/>
    </row>
    <row r="904" spans="2:7" ht="15.6" x14ac:dyDescent="0.3">
      <c r="B904" s="8">
        <v>899</v>
      </c>
      <c r="C904" s="5"/>
      <c r="D904" s="10"/>
      <c r="F904" s="8">
        <v>899</v>
      </c>
      <c r="G904" s="5"/>
    </row>
    <row r="905" spans="2:7" ht="15.6" x14ac:dyDescent="0.3">
      <c r="B905" s="8">
        <v>900</v>
      </c>
      <c r="C905" s="5">
        <v>50</v>
      </c>
      <c r="D905" s="10"/>
      <c r="F905" s="8">
        <v>900</v>
      </c>
      <c r="G905" s="5">
        <v>50</v>
      </c>
    </row>
    <row r="906" spans="2:7" ht="15.6" x14ac:dyDescent="0.3">
      <c r="B906" s="8">
        <v>901</v>
      </c>
      <c r="C906" s="5"/>
      <c r="D906" s="10"/>
      <c r="F906" s="8">
        <v>901</v>
      </c>
      <c r="G906" s="5"/>
    </row>
    <row r="907" spans="2:7" ht="15.6" x14ac:dyDescent="0.3">
      <c r="B907" s="8">
        <v>902</v>
      </c>
      <c r="C907" s="5"/>
      <c r="D907" s="10"/>
      <c r="F907" s="8">
        <v>902</v>
      </c>
      <c r="G907" s="5"/>
    </row>
    <row r="908" spans="2:7" ht="15.6" x14ac:dyDescent="0.3">
      <c r="B908" s="8">
        <v>903</v>
      </c>
      <c r="C908" s="5"/>
      <c r="D908" s="10"/>
      <c r="F908" s="8">
        <v>903</v>
      </c>
      <c r="G908" s="5"/>
    </row>
    <row r="909" spans="2:7" ht="15.6" x14ac:dyDescent="0.3">
      <c r="B909" s="8">
        <v>904</v>
      </c>
      <c r="C909" s="5"/>
      <c r="D909" s="10"/>
      <c r="F909" s="8">
        <v>904</v>
      </c>
      <c r="G909" s="5"/>
    </row>
    <row r="910" spans="2:7" ht="15.6" x14ac:dyDescent="0.3">
      <c r="B910" s="8">
        <v>905</v>
      </c>
      <c r="C910" s="5">
        <v>50</v>
      </c>
      <c r="D910" s="10"/>
      <c r="F910" s="8">
        <v>905</v>
      </c>
      <c r="G910" s="5"/>
    </row>
    <row r="911" spans="2:7" ht="15.6" x14ac:dyDescent="0.3">
      <c r="B911" s="8">
        <v>906</v>
      </c>
      <c r="C911" s="5"/>
      <c r="D911" s="10"/>
      <c r="F911" s="8">
        <v>906</v>
      </c>
      <c r="G911" s="5"/>
    </row>
    <row r="912" spans="2:7" ht="15.6" x14ac:dyDescent="0.3">
      <c r="B912" s="8">
        <v>907</v>
      </c>
      <c r="C912" s="5"/>
      <c r="D912" s="10"/>
      <c r="F912" s="8">
        <v>907</v>
      </c>
      <c r="G912" s="5"/>
    </row>
    <row r="913" spans="2:7" ht="15.6" x14ac:dyDescent="0.3">
      <c r="B913" s="8">
        <v>908</v>
      </c>
      <c r="C913" s="5"/>
      <c r="D913" s="10"/>
      <c r="F913" s="8">
        <v>908</v>
      </c>
      <c r="G913" s="5"/>
    </row>
    <row r="914" spans="2:7" ht="15.6" x14ac:dyDescent="0.3">
      <c r="B914" s="8">
        <v>909</v>
      </c>
      <c r="C914" s="5"/>
      <c r="D914" s="10"/>
      <c r="F914" s="8">
        <v>909</v>
      </c>
      <c r="G914" s="5"/>
    </row>
    <row r="915" spans="2:7" ht="15.6" x14ac:dyDescent="0.3">
      <c r="B915" s="8">
        <v>910</v>
      </c>
      <c r="C915" s="5"/>
      <c r="D915" s="10"/>
      <c r="F915" s="8">
        <v>910</v>
      </c>
      <c r="G915" s="5"/>
    </row>
    <row r="916" spans="2:7" ht="15.6" x14ac:dyDescent="0.3">
      <c r="B916" s="8">
        <v>911</v>
      </c>
      <c r="C916" s="5"/>
      <c r="D916" s="10"/>
      <c r="F916" s="8">
        <v>911</v>
      </c>
      <c r="G916" s="5"/>
    </row>
    <row r="917" spans="2:7" ht="15.6" x14ac:dyDescent="0.3">
      <c r="B917" s="8">
        <v>912</v>
      </c>
      <c r="C917" s="5">
        <v>50</v>
      </c>
      <c r="D917" s="10">
        <v>50</v>
      </c>
      <c r="F917" s="8">
        <v>912</v>
      </c>
      <c r="G917" s="5"/>
    </row>
    <row r="918" spans="2:7" ht="15.6" x14ac:dyDescent="0.3">
      <c r="B918" s="8">
        <v>913</v>
      </c>
      <c r="C918" s="5"/>
      <c r="D918" s="10"/>
      <c r="F918" s="8">
        <v>913</v>
      </c>
      <c r="G918" s="5"/>
    </row>
    <row r="919" spans="2:7" ht="15.6" x14ac:dyDescent="0.3">
      <c r="B919" s="8">
        <v>914</v>
      </c>
      <c r="C919" s="5"/>
      <c r="D919" s="10"/>
      <c r="F919" s="8">
        <v>914</v>
      </c>
      <c r="G919" s="5"/>
    </row>
    <row r="920" spans="2:7" ht="15.6" x14ac:dyDescent="0.3">
      <c r="B920" s="8">
        <v>915</v>
      </c>
      <c r="C920" s="5"/>
      <c r="D920" s="10"/>
      <c r="F920" s="8">
        <v>915</v>
      </c>
      <c r="G920" s="5"/>
    </row>
    <row r="921" spans="2:7" ht="15.6" x14ac:dyDescent="0.3">
      <c r="B921" s="8">
        <v>916</v>
      </c>
      <c r="C921" s="5"/>
      <c r="D921" s="10"/>
      <c r="F921" s="8">
        <v>916</v>
      </c>
      <c r="G921" s="5"/>
    </row>
    <row r="922" spans="2:7" ht="15.6" x14ac:dyDescent="0.3">
      <c r="B922" s="8">
        <v>917</v>
      </c>
      <c r="C922" s="5"/>
      <c r="D922" s="10"/>
      <c r="F922" s="8">
        <v>917</v>
      </c>
      <c r="G922" s="5"/>
    </row>
    <row r="923" spans="2:7" ht="15.6" x14ac:dyDescent="0.3">
      <c r="B923" s="8">
        <v>918</v>
      </c>
      <c r="C923" s="5"/>
      <c r="D923" s="10"/>
      <c r="F923" s="8">
        <v>918</v>
      </c>
      <c r="G923" s="5"/>
    </row>
    <row r="924" spans="2:7" ht="15.6" x14ac:dyDescent="0.3">
      <c r="B924" s="8">
        <v>919</v>
      </c>
      <c r="C924" s="5"/>
      <c r="D924" s="10"/>
      <c r="F924" s="8">
        <v>919</v>
      </c>
      <c r="G924" s="5"/>
    </row>
    <row r="925" spans="2:7" ht="15.6" x14ac:dyDescent="0.3">
      <c r="B925" s="8">
        <v>920</v>
      </c>
      <c r="C925" s="5"/>
      <c r="D925" s="10"/>
      <c r="F925" s="8">
        <v>920</v>
      </c>
      <c r="G925" s="5"/>
    </row>
    <row r="926" spans="2:7" ht="15.6" x14ac:dyDescent="0.3">
      <c r="B926" s="8">
        <v>921</v>
      </c>
      <c r="C926" s="5"/>
      <c r="D926" s="10"/>
      <c r="F926" s="8">
        <v>921</v>
      </c>
      <c r="G926" s="5"/>
    </row>
    <row r="927" spans="2:7" ht="15.6" x14ac:dyDescent="0.3">
      <c r="B927" s="8">
        <v>922</v>
      </c>
      <c r="C927" s="5"/>
      <c r="D927" s="10"/>
      <c r="F927" s="8">
        <v>922</v>
      </c>
      <c r="G927" s="5"/>
    </row>
    <row r="928" spans="2:7" ht="15.6" x14ac:dyDescent="0.3">
      <c r="B928" s="8">
        <v>923</v>
      </c>
      <c r="C928" s="5"/>
      <c r="D928" s="10"/>
      <c r="F928" s="8">
        <v>923</v>
      </c>
      <c r="G928" s="5"/>
    </row>
    <row r="929" spans="2:7" ht="15.6" x14ac:dyDescent="0.3">
      <c r="B929" s="8">
        <v>924</v>
      </c>
      <c r="C929" s="5"/>
      <c r="D929" s="10"/>
      <c r="F929" s="8">
        <v>924</v>
      </c>
      <c r="G929" s="5"/>
    </row>
    <row r="930" spans="2:7" ht="15.6" x14ac:dyDescent="0.3">
      <c r="B930" s="8">
        <v>925</v>
      </c>
      <c r="C930" s="5"/>
      <c r="D930" s="10"/>
      <c r="F930" s="8">
        <v>925</v>
      </c>
      <c r="G930" s="5"/>
    </row>
    <row r="931" spans="2:7" ht="15.6" x14ac:dyDescent="0.3">
      <c r="B931" s="8">
        <v>926</v>
      </c>
      <c r="C931" s="5"/>
      <c r="D931" s="10"/>
      <c r="F931" s="8">
        <v>926</v>
      </c>
      <c r="G931" s="5"/>
    </row>
    <row r="932" spans="2:7" ht="15.6" x14ac:dyDescent="0.3">
      <c r="B932" s="8">
        <v>927</v>
      </c>
      <c r="C932" s="5"/>
      <c r="D932" s="10"/>
      <c r="F932" s="8">
        <v>927</v>
      </c>
      <c r="G932" s="5"/>
    </row>
    <row r="933" spans="2:7" ht="15.6" x14ac:dyDescent="0.3">
      <c r="B933" s="8">
        <v>928</v>
      </c>
      <c r="C933" s="5"/>
      <c r="D933" s="10"/>
      <c r="F933" s="8">
        <v>928</v>
      </c>
      <c r="G933" s="5"/>
    </row>
    <row r="934" spans="2:7" ht="15.6" x14ac:dyDescent="0.3">
      <c r="B934" s="8">
        <v>929</v>
      </c>
      <c r="C934" s="5"/>
      <c r="D934" s="10"/>
      <c r="F934" s="8">
        <v>929</v>
      </c>
      <c r="G934" s="5"/>
    </row>
    <row r="935" spans="2:7" ht="15.6" x14ac:dyDescent="0.3">
      <c r="B935" s="8">
        <v>930</v>
      </c>
      <c r="C935" s="5"/>
      <c r="D935" s="10"/>
      <c r="F935" s="8">
        <v>930</v>
      </c>
      <c r="G935" s="5"/>
    </row>
    <row r="936" spans="2:7" ht="15.6" x14ac:dyDescent="0.3">
      <c r="B936" s="8">
        <v>931</v>
      </c>
      <c r="C936" s="5"/>
      <c r="D936" s="10"/>
      <c r="F936" s="8">
        <v>931</v>
      </c>
      <c r="G936" s="5"/>
    </row>
    <row r="937" spans="2:7" ht="15.6" x14ac:dyDescent="0.3">
      <c r="B937" s="8">
        <v>932</v>
      </c>
      <c r="C937" s="5"/>
      <c r="D937" s="10"/>
      <c r="F937" s="8">
        <v>932</v>
      </c>
      <c r="G937" s="5"/>
    </row>
    <row r="938" spans="2:7" ht="15.6" x14ac:dyDescent="0.3">
      <c r="B938" s="8">
        <v>933</v>
      </c>
      <c r="C938" s="5"/>
      <c r="D938" s="10"/>
      <c r="F938" s="8">
        <v>933</v>
      </c>
      <c r="G938" s="5"/>
    </row>
    <row r="939" spans="2:7" ht="15.6" x14ac:dyDescent="0.3">
      <c r="B939" s="8">
        <v>934</v>
      </c>
      <c r="C939" s="5"/>
      <c r="D939" s="10"/>
      <c r="F939" s="8">
        <v>934</v>
      </c>
      <c r="G939" s="5"/>
    </row>
    <row r="940" spans="2:7" ht="15.6" x14ac:dyDescent="0.3">
      <c r="B940" s="8">
        <v>935</v>
      </c>
      <c r="C940" s="5">
        <v>100</v>
      </c>
      <c r="D940" s="10">
        <v>100</v>
      </c>
      <c r="F940" s="8">
        <v>935</v>
      </c>
      <c r="G940" s="5"/>
    </row>
    <row r="941" spans="2:7" ht="15.6" x14ac:dyDescent="0.3">
      <c r="B941" s="8">
        <v>936</v>
      </c>
      <c r="C941" s="5"/>
      <c r="D941" s="10"/>
      <c r="F941" s="8">
        <v>936</v>
      </c>
      <c r="G941" s="5"/>
    </row>
    <row r="942" spans="2:7" ht="15.6" x14ac:dyDescent="0.3">
      <c r="B942" s="8">
        <v>937</v>
      </c>
      <c r="C942" s="5">
        <v>100</v>
      </c>
      <c r="D942" s="10">
        <v>50</v>
      </c>
      <c r="F942" s="8">
        <v>937</v>
      </c>
      <c r="G942" s="5">
        <v>100</v>
      </c>
    </row>
    <row r="943" spans="2:7" ht="15.6" x14ac:dyDescent="0.3">
      <c r="B943" s="8">
        <v>938</v>
      </c>
      <c r="C943" s="5">
        <v>60</v>
      </c>
      <c r="D943" s="10">
        <v>60</v>
      </c>
      <c r="F943" s="8">
        <v>938</v>
      </c>
      <c r="G943" s="5"/>
    </row>
    <row r="944" spans="2:7" ht="15.6" x14ac:dyDescent="0.3">
      <c r="B944" s="8">
        <v>939</v>
      </c>
      <c r="C944" s="5"/>
      <c r="D944" s="10"/>
      <c r="F944" s="8">
        <v>939</v>
      </c>
      <c r="G944" s="5"/>
    </row>
    <row r="945" spans="2:7" ht="15.6" x14ac:dyDescent="0.3">
      <c r="B945" s="8">
        <v>940</v>
      </c>
      <c r="C945" s="5"/>
      <c r="D945" s="10"/>
      <c r="F945" s="8">
        <v>940</v>
      </c>
      <c r="G945" s="5"/>
    </row>
    <row r="946" spans="2:7" ht="15.6" x14ac:dyDescent="0.3">
      <c r="B946" s="8">
        <v>941</v>
      </c>
      <c r="C946" s="5"/>
      <c r="D946" s="10"/>
      <c r="F946" s="8">
        <v>941</v>
      </c>
      <c r="G946" s="5"/>
    </row>
    <row r="947" spans="2:7" ht="15.6" x14ac:dyDescent="0.3">
      <c r="B947" s="8">
        <v>942</v>
      </c>
      <c r="C947" s="5"/>
      <c r="D947" s="10"/>
      <c r="F947" s="8">
        <v>942</v>
      </c>
      <c r="G947" s="5"/>
    </row>
    <row r="948" spans="2:7" ht="15.6" x14ac:dyDescent="0.3">
      <c r="B948" s="8">
        <v>943</v>
      </c>
      <c r="C948" s="5"/>
      <c r="D948" s="10"/>
      <c r="F948" s="8">
        <v>943</v>
      </c>
      <c r="G948" s="5"/>
    </row>
    <row r="949" spans="2:7" ht="15.6" x14ac:dyDescent="0.3">
      <c r="B949" s="8">
        <v>944</v>
      </c>
      <c r="C949" s="5">
        <v>0</v>
      </c>
      <c r="D949" s="10"/>
      <c r="F949" s="8">
        <v>944</v>
      </c>
      <c r="G949" s="5"/>
    </row>
    <row r="950" spans="2:7" ht="15.6" x14ac:dyDescent="0.3">
      <c r="B950" s="8">
        <v>945</v>
      </c>
      <c r="C950" s="5">
        <v>130</v>
      </c>
      <c r="D950" s="10">
        <v>130</v>
      </c>
      <c r="F950" s="8">
        <v>945</v>
      </c>
      <c r="G950" s="5"/>
    </row>
    <row r="951" spans="2:7" ht="15.6" x14ac:dyDescent="0.3">
      <c r="B951" s="8">
        <v>946</v>
      </c>
      <c r="C951" s="5"/>
      <c r="D951" s="10"/>
      <c r="F951" s="8">
        <v>946</v>
      </c>
      <c r="G951" s="5"/>
    </row>
    <row r="952" spans="2:7" ht="15.6" x14ac:dyDescent="0.3">
      <c r="B952" s="8">
        <v>947</v>
      </c>
      <c r="C952" s="5">
        <v>20</v>
      </c>
      <c r="D952" s="10">
        <v>20</v>
      </c>
      <c r="F952" s="8">
        <v>947</v>
      </c>
      <c r="G952" s="5"/>
    </row>
    <row r="953" spans="2:7" ht="15.6" x14ac:dyDescent="0.3">
      <c r="B953" s="8">
        <v>948</v>
      </c>
      <c r="C953" s="5"/>
      <c r="D953" s="10"/>
      <c r="F953" s="8">
        <v>948</v>
      </c>
      <c r="G953" s="5"/>
    </row>
    <row r="954" spans="2:7" ht="15.6" x14ac:dyDescent="0.3">
      <c r="B954" s="8">
        <v>949</v>
      </c>
      <c r="C954" s="5"/>
      <c r="D954" s="10"/>
      <c r="F954" s="8">
        <v>949</v>
      </c>
      <c r="G954" s="5"/>
    </row>
    <row r="955" spans="2:7" ht="15.6" x14ac:dyDescent="0.3">
      <c r="B955" s="8">
        <v>950</v>
      </c>
      <c r="C955" s="5">
        <v>50</v>
      </c>
      <c r="D955" s="10"/>
      <c r="F955" s="8">
        <v>950</v>
      </c>
      <c r="G955" s="5"/>
    </row>
    <row r="956" spans="2:7" ht="15.6" x14ac:dyDescent="0.3">
      <c r="B956" s="8">
        <v>951</v>
      </c>
      <c r="C956" s="5">
        <v>50</v>
      </c>
      <c r="D956" s="10">
        <v>50</v>
      </c>
      <c r="F956" s="8">
        <v>951</v>
      </c>
      <c r="G956" s="5"/>
    </row>
    <row r="957" spans="2:7" ht="15.6" x14ac:dyDescent="0.3">
      <c r="B957" s="8">
        <v>952</v>
      </c>
      <c r="C957" s="5"/>
      <c r="D957" s="10"/>
      <c r="F957" s="8">
        <v>952</v>
      </c>
      <c r="G957" s="5"/>
    </row>
    <row r="958" spans="2:7" ht="15.6" x14ac:dyDescent="0.3">
      <c r="B958" s="8">
        <v>953</v>
      </c>
      <c r="C958" s="5"/>
      <c r="D958" s="10"/>
      <c r="F958" s="8">
        <v>953</v>
      </c>
      <c r="G958" s="5"/>
    </row>
    <row r="959" spans="2:7" ht="15.6" x14ac:dyDescent="0.3">
      <c r="B959" s="8">
        <v>954</v>
      </c>
      <c r="C959" s="5"/>
      <c r="D959" s="10"/>
      <c r="F959" s="8">
        <v>954</v>
      </c>
      <c r="G959" s="5"/>
    </row>
    <row r="960" spans="2:7" ht="15.6" x14ac:dyDescent="0.3">
      <c r="B960" s="8">
        <v>955</v>
      </c>
      <c r="C960" s="5"/>
      <c r="D960" s="10"/>
      <c r="F960" s="8">
        <v>955</v>
      </c>
      <c r="G960" s="5"/>
    </row>
    <row r="961" spans="2:7" ht="15.6" x14ac:dyDescent="0.3">
      <c r="B961" s="8">
        <v>956</v>
      </c>
      <c r="C961" s="5"/>
      <c r="D961" s="10"/>
      <c r="F961" s="8">
        <v>956</v>
      </c>
      <c r="G961" s="5"/>
    </row>
    <row r="962" spans="2:7" ht="15.6" x14ac:dyDescent="0.3">
      <c r="B962" s="8">
        <v>957</v>
      </c>
      <c r="C962" s="5">
        <v>100</v>
      </c>
      <c r="D962" s="10">
        <v>100</v>
      </c>
      <c r="F962" s="8">
        <v>957</v>
      </c>
      <c r="G962" s="5"/>
    </row>
    <row r="963" spans="2:7" ht="15.6" x14ac:dyDescent="0.3">
      <c r="B963" s="8">
        <v>958</v>
      </c>
      <c r="C963" s="5">
        <v>150</v>
      </c>
      <c r="D963" s="10">
        <v>250</v>
      </c>
      <c r="F963" s="8">
        <v>958</v>
      </c>
      <c r="G963" s="5"/>
    </row>
    <row r="964" spans="2:7" ht="15.6" x14ac:dyDescent="0.3">
      <c r="B964" s="8">
        <v>959</v>
      </c>
      <c r="C964" s="5"/>
      <c r="D964" s="10"/>
      <c r="F964" s="8">
        <v>959</v>
      </c>
      <c r="G964" s="5"/>
    </row>
    <row r="965" spans="2:7" ht="15.6" x14ac:dyDescent="0.3">
      <c r="B965" s="8">
        <v>960</v>
      </c>
      <c r="C965" s="5"/>
      <c r="D965" s="10"/>
      <c r="F965" s="8">
        <v>960</v>
      </c>
      <c r="G965" s="5"/>
    </row>
    <row r="966" spans="2:7" ht="15.6" x14ac:dyDescent="0.3">
      <c r="B966" s="8">
        <v>961</v>
      </c>
      <c r="C966" s="5"/>
      <c r="D966" s="10"/>
      <c r="F966" s="8">
        <v>961</v>
      </c>
      <c r="G966" s="5"/>
    </row>
    <row r="967" spans="2:7" ht="15.6" x14ac:dyDescent="0.3">
      <c r="B967" s="8">
        <v>962</v>
      </c>
      <c r="C967" s="5"/>
      <c r="D967" s="10"/>
      <c r="F967" s="8">
        <v>962</v>
      </c>
      <c r="G967" s="5"/>
    </row>
    <row r="968" spans="2:7" ht="15.6" x14ac:dyDescent="0.3">
      <c r="B968" s="8">
        <v>963</v>
      </c>
      <c r="C968" s="5"/>
      <c r="D968" s="10"/>
      <c r="F968" s="8">
        <v>963</v>
      </c>
      <c r="G968" s="5"/>
    </row>
    <row r="969" spans="2:7" ht="15.6" x14ac:dyDescent="0.3">
      <c r="B969" s="8">
        <v>964</v>
      </c>
      <c r="C969" s="5"/>
      <c r="D969" s="10"/>
      <c r="F969" s="8">
        <v>964</v>
      </c>
      <c r="G969" s="5"/>
    </row>
    <row r="970" spans="2:7" ht="15.6" x14ac:dyDescent="0.3">
      <c r="B970" s="8">
        <v>965</v>
      </c>
      <c r="C970" s="5"/>
      <c r="D970" s="10"/>
      <c r="F970" s="8">
        <v>965</v>
      </c>
      <c r="G970" s="5"/>
    </row>
    <row r="971" spans="2:7" ht="15.6" x14ac:dyDescent="0.3">
      <c r="B971" s="8">
        <v>966</v>
      </c>
      <c r="C971" s="5"/>
      <c r="D971" s="10"/>
      <c r="F971" s="8">
        <v>966</v>
      </c>
      <c r="G971" s="5"/>
    </row>
    <row r="972" spans="2:7" ht="15.6" x14ac:dyDescent="0.3">
      <c r="B972" s="8">
        <v>967</v>
      </c>
      <c r="C972" s="5"/>
      <c r="D972" s="10"/>
      <c r="F972" s="8">
        <v>967</v>
      </c>
      <c r="G972" s="5"/>
    </row>
    <row r="973" spans="2:7" ht="15.6" x14ac:dyDescent="0.3">
      <c r="B973" s="8">
        <v>968</v>
      </c>
      <c r="C973" s="5">
        <v>100</v>
      </c>
      <c r="D973" s="10">
        <v>100</v>
      </c>
      <c r="F973" s="8">
        <v>968</v>
      </c>
      <c r="G973" s="5"/>
    </row>
    <row r="974" spans="2:7" ht="15.6" x14ac:dyDescent="0.3">
      <c r="B974" s="8">
        <v>969</v>
      </c>
      <c r="C974" s="5"/>
      <c r="D974" s="10"/>
      <c r="F974" s="8">
        <v>969</v>
      </c>
      <c r="G974" s="5"/>
    </row>
    <row r="975" spans="2:7" ht="15.6" x14ac:dyDescent="0.3">
      <c r="B975" s="8">
        <v>970</v>
      </c>
      <c r="C975" s="5"/>
      <c r="D975" s="10"/>
      <c r="F975" s="8">
        <v>970</v>
      </c>
      <c r="G975" s="5"/>
    </row>
    <row r="976" spans="2:7" ht="15.6" x14ac:dyDescent="0.3">
      <c r="B976" s="8">
        <v>971</v>
      </c>
      <c r="C976" s="5"/>
      <c r="D976" s="10"/>
      <c r="F976" s="8">
        <v>971</v>
      </c>
      <c r="G976" s="5"/>
    </row>
    <row r="977" spans="2:7" ht="15.6" x14ac:dyDescent="0.3">
      <c r="B977" s="8">
        <v>972</v>
      </c>
      <c r="C977" s="5"/>
      <c r="D977" s="10"/>
      <c r="F977" s="8">
        <v>972</v>
      </c>
      <c r="G977" s="5"/>
    </row>
    <row r="978" spans="2:7" ht="15.6" x14ac:dyDescent="0.3">
      <c r="B978" s="8">
        <v>973</v>
      </c>
      <c r="C978" s="5">
        <v>70</v>
      </c>
      <c r="D978" s="10">
        <v>20</v>
      </c>
      <c r="F978" s="8">
        <v>973</v>
      </c>
      <c r="G978" s="5">
        <v>100</v>
      </c>
    </row>
    <row r="979" spans="2:7" ht="15.6" x14ac:dyDescent="0.3">
      <c r="B979" s="8">
        <v>974</v>
      </c>
      <c r="C979" s="5"/>
      <c r="D979" s="10"/>
      <c r="F979" s="8">
        <v>974</v>
      </c>
      <c r="G979" s="5"/>
    </row>
    <row r="980" spans="2:7" ht="15.6" x14ac:dyDescent="0.3">
      <c r="B980" s="8">
        <v>975</v>
      </c>
      <c r="C980" s="5"/>
      <c r="D980" s="10"/>
      <c r="F980" s="8">
        <v>975</v>
      </c>
      <c r="G980" s="5"/>
    </row>
    <row r="981" spans="2:7" ht="15.6" x14ac:dyDescent="0.3">
      <c r="B981" s="8">
        <v>976</v>
      </c>
      <c r="C981" s="5"/>
      <c r="D981" s="10"/>
      <c r="F981" s="8">
        <v>976</v>
      </c>
      <c r="G981" s="5"/>
    </row>
    <row r="982" spans="2:7" ht="15.6" x14ac:dyDescent="0.3">
      <c r="B982" s="8">
        <v>977</v>
      </c>
      <c r="C982" s="5"/>
      <c r="D982" s="10"/>
      <c r="F982" s="8">
        <v>977</v>
      </c>
      <c r="G982" s="5"/>
    </row>
    <row r="983" spans="2:7" ht="15.6" x14ac:dyDescent="0.3">
      <c r="B983" s="8">
        <v>978</v>
      </c>
      <c r="C983" s="5"/>
      <c r="D983" s="10"/>
      <c r="F983" s="8">
        <v>978</v>
      </c>
      <c r="G983" s="5"/>
    </row>
    <row r="984" spans="2:7" ht="15.6" x14ac:dyDescent="0.3">
      <c r="B984" s="8">
        <v>979</v>
      </c>
      <c r="C984" s="5"/>
      <c r="D984" s="10"/>
      <c r="F984" s="8">
        <v>979</v>
      </c>
      <c r="G984" s="5"/>
    </row>
    <row r="985" spans="2:7" ht="15.6" x14ac:dyDescent="0.3">
      <c r="B985" s="8">
        <v>980</v>
      </c>
      <c r="C985" s="5"/>
      <c r="D985" s="10"/>
      <c r="F985" s="8">
        <v>980</v>
      </c>
      <c r="G985" s="5"/>
    </row>
    <row r="986" spans="2:7" ht="15.6" x14ac:dyDescent="0.3">
      <c r="B986" s="8">
        <v>981</v>
      </c>
      <c r="C986" s="5">
        <v>20</v>
      </c>
      <c r="D986" s="10">
        <v>20</v>
      </c>
      <c r="F986" s="8">
        <v>981</v>
      </c>
      <c r="G986" s="5"/>
    </row>
    <row r="987" spans="2:7" ht="15.6" x14ac:dyDescent="0.3">
      <c r="B987" s="8">
        <v>982</v>
      </c>
      <c r="C987" s="5"/>
      <c r="D987" s="10"/>
      <c r="F987" s="8">
        <v>982</v>
      </c>
      <c r="G987" s="5"/>
    </row>
    <row r="988" spans="2:7" ht="15.6" x14ac:dyDescent="0.3">
      <c r="B988" s="8">
        <v>983</v>
      </c>
      <c r="C988" s="5"/>
      <c r="D988" s="10"/>
      <c r="F988" s="8">
        <v>983</v>
      </c>
      <c r="G988" s="5"/>
    </row>
    <row r="989" spans="2:7" ht="15.6" x14ac:dyDescent="0.3">
      <c r="B989" s="8">
        <v>984</v>
      </c>
      <c r="C989" s="5"/>
      <c r="D989" s="10"/>
      <c r="F989" s="8">
        <v>984</v>
      </c>
      <c r="G989" s="5">
        <v>50</v>
      </c>
    </row>
    <row r="990" spans="2:7" ht="15.6" x14ac:dyDescent="0.3">
      <c r="B990" s="8">
        <v>985</v>
      </c>
      <c r="C990" s="5">
        <v>250</v>
      </c>
      <c r="D990" s="10">
        <v>250</v>
      </c>
      <c r="F990" s="8">
        <v>985</v>
      </c>
      <c r="G990" s="5"/>
    </row>
    <row r="991" spans="2:7" ht="15.6" x14ac:dyDescent="0.3">
      <c r="B991" s="8">
        <v>986</v>
      </c>
      <c r="C991" s="5"/>
      <c r="D991" s="10"/>
      <c r="F991" s="8">
        <v>986</v>
      </c>
      <c r="G991" s="5"/>
    </row>
    <row r="992" spans="2:7" ht="15.6" x14ac:dyDescent="0.3">
      <c r="B992" s="8">
        <v>987</v>
      </c>
      <c r="C992" s="5"/>
      <c r="D992" s="10"/>
      <c r="F992" s="8">
        <v>987</v>
      </c>
      <c r="G992" s="5"/>
    </row>
    <row r="993" spans="2:7" ht="15.6" x14ac:dyDescent="0.3">
      <c r="B993" s="8">
        <v>988</v>
      </c>
      <c r="C993" s="5"/>
      <c r="D993" s="10"/>
      <c r="F993" s="8">
        <v>988</v>
      </c>
      <c r="G993" s="5"/>
    </row>
    <row r="994" spans="2:7" ht="15.6" x14ac:dyDescent="0.3">
      <c r="B994" s="8">
        <v>989</v>
      </c>
      <c r="C994" s="5"/>
      <c r="D994" s="10"/>
      <c r="F994" s="8">
        <v>989</v>
      </c>
      <c r="G994" s="5"/>
    </row>
    <row r="995" spans="2:7" ht="15.6" x14ac:dyDescent="0.3">
      <c r="B995" s="8">
        <v>990</v>
      </c>
      <c r="C995" s="5"/>
      <c r="D995" s="10"/>
      <c r="F995" s="8">
        <v>990</v>
      </c>
      <c r="G995" s="5"/>
    </row>
    <row r="996" spans="2:7" ht="15.6" x14ac:dyDescent="0.3">
      <c r="B996" s="8">
        <v>991</v>
      </c>
      <c r="C996" s="5"/>
      <c r="D996" s="10"/>
      <c r="F996" s="8">
        <v>991</v>
      </c>
      <c r="G996" s="5"/>
    </row>
    <row r="997" spans="2:7" ht="15.6" x14ac:dyDescent="0.3">
      <c r="B997" s="8">
        <v>992</v>
      </c>
      <c r="C997" s="5"/>
      <c r="D997" s="10"/>
      <c r="F997" s="8">
        <v>992</v>
      </c>
      <c r="G997" s="5"/>
    </row>
    <row r="998" spans="2:7" ht="15.6" x14ac:dyDescent="0.3">
      <c r="B998" s="8">
        <v>993</v>
      </c>
      <c r="C998" s="5"/>
      <c r="D998" s="10"/>
      <c r="F998" s="8">
        <v>993</v>
      </c>
      <c r="G998" s="5"/>
    </row>
    <row r="999" spans="2:7" ht="15.6" x14ac:dyDescent="0.3">
      <c r="B999" s="8">
        <v>994</v>
      </c>
      <c r="C999" s="5"/>
      <c r="D999" s="10"/>
      <c r="F999" s="8">
        <v>994</v>
      </c>
      <c r="G999" s="5"/>
    </row>
    <row r="1000" spans="2:7" ht="15.6" x14ac:dyDescent="0.3">
      <c r="B1000" s="8">
        <v>995</v>
      </c>
      <c r="C1000" s="5"/>
      <c r="D1000" s="10"/>
      <c r="F1000" s="8">
        <v>995</v>
      </c>
      <c r="G1000" s="5"/>
    </row>
    <row r="1001" spans="2:7" ht="15.6" x14ac:dyDescent="0.3">
      <c r="B1001" s="8">
        <v>996</v>
      </c>
      <c r="C1001" s="5"/>
      <c r="D1001" s="10"/>
      <c r="F1001" s="8">
        <v>996</v>
      </c>
      <c r="G1001" s="5"/>
    </row>
    <row r="1002" spans="2:7" ht="15.6" x14ac:dyDescent="0.3">
      <c r="B1002" s="8">
        <v>997</v>
      </c>
      <c r="C1002" s="5"/>
      <c r="D1002" s="10"/>
      <c r="F1002" s="8">
        <v>997</v>
      </c>
      <c r="G1002" s="5"/>
    </row>
    <row r="1003" spans="2:7" ht="15.6" x14ac:dyDescent="0.3">
      <c r="B1003" s="8">
        <v>998</v>
      </c>
      <c r="C1003" s="5"/>
      <c r="D1003" s="10"/>
      <c r="F1003" s="8">
        <v>998</v>
      </c>
      <c r="G1003" s="5"/>
    </row>
    <row r="1004" spans="2:7" ht="15.6" x14ac:dyDescent="0.3">
      <c r="B1004" s="8">
        <v>999</v>
      </c>
      <c r="C1004" s="5"/>
      <c r="D1004" s="10"/>
      <c r="F1004" s="8">
        <v>999</v>
      </c>
      <c r="G1004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Table3">
                <anchor moveWithCells="1" sizeWithCells="1">
                  <from>
                    <xdr:col>9</xdr:col>
                    <xdr:colOff>7620</xdr:colOff>
                    <xdr:row>9</xdr:row>
                    <xdr:rowOff>7620</xdr:rowOff>
                  </from>
                  <to>
                    <xdr:col>11</xdr:col>
                    <xdr:colOff>563880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5C70C-B11A-4BDF-A76D-2553C7AD1C30}">
  <sheetPr codeName="Sheet18"/>
  <dimension ref="A1:Q1"/>
  <sheetViews>
    <sheetView topLeftCell="A7" zoomScaleNormal="100" workbookViewId="0">
      <selection activeCell="J17" sqref="J17"/>
    </sheetView>
  </sheetViews>
  <sheetFormatPr defaultRowHeight="14.4" x14ac:dyDescent="0.3"/>
  <sheetData>
    <row r="1" spans="1:17" ht="30" x14ac:dyDescent="0.5">
      <c r="A1" s="64" t="s">
        <v>4</v>
      </c>
      <c r="B1" s="64"/>
      <c r="C1" s="64"/>
      <c r="D1" s="64"/>
      <c r="E1" s="64"/>
      <c r="M1" s="64" t="s">
        <v>5</v>
      </c>
      <c r="N1" s="64"/>
      <c r="O1" s="64"/>
      <c r="P1" s="64"/>
      <c r="Q1" s="64"/>
    </row>
  </sheetData>
  <mergeCells count="2">
    <mergeCell ref="A1:E1"/>
    <mergeCell ref="M1:Q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EF871-05B0-40A5-858E-35463276504F}">
  <sheetPr codeName="Sheet7"/>
  <dimension ref="A1:U28"/>
  <sheetViews>
    <sheetView workbookViewId="0">
      <selection activeCell="V18" sqref="V18"/>
    </sheetView>
  </sheetViews>
  <sheetFormatPr defaultRowHeight="15.6" x14ac:dyDescent="0.3"/>
  <cols>
    <col min="1" max="20" width="8.88671875" style="3"/>
    <col min="21" max="21" width="8.88671875" style="11"/>
    <col min="22" max="16384" width="8.88671875" style="3"/>
  </cols>
  <sheetData>
    <row r="1" spans="1:21" ht="30" x14ac:dyDescent="0.5">
      <c r="A1" s="66" t="s">
        <v>23</v>
      </c>
      <c r="B1" s="66"/>
      <c r="C1" s="66"/>
      <c r="D1" s="66"/>
      <c r="F1" s="30" t="s">
        <v>17</v>
      </c>
      <c r="G1" s="30">
        <f>'2-Digit Lotto Table'!J2</f>
        <v>69640</v>
      </c>
    </row>
    <row r="3" spans="1:21" x14ac:dyDescent="0.3">
      <c r="B3" s="65" t="s">
        <v>25</v>
      </c>
      <c r="C3" s="65"/>
      <c r="D3" s="65"/>
      <c r="E3" s="6">
        <f>'2-Digit Lotto Table'!C2</f>
        <v>35070</v>
      </c>
    </row>
    <row r="5" spans="1:21" x14ac:dyDescent="0.25">
      <c r="B5" s="38">
        <v>0</v>
      </c>
      <c r="C5" s="42">
        <f>'2-Digit Lotto Table'!C5</f>
        <v>50</v>
      </c>
      <c r="D5" s="39">
        <v>10</v>
      </c>
      <c r="E5" s="42">
        <f>'2-Digit Lotto Table'!C15</f>
        <v>50</v>
      </c>
      <c r="F5" s="39">
        <v>20</v>
      </c>
      <c r="G5" s="42">
        <f>'2-Digit Lotto Table'!C25</f>
        <v>10</v>
      </c>
      <c r="H5" s="39">
        <v>30</v>
      </c>
      <c r="I5" s="42">
        <f>'2-Digit Lotto Table'!C35</f>
        <v>140</v>
      </c>
      <c r="J5" s="39">
        <v>40</v>
      </c>
      <c r="K5" s="27">
        <f>'2-Digit Lotto Table'!C45</f>
        <v>40</v>
      </c>
      <c r="L5" s="28">
        <v>50</v>
      </c>
      <c r="M5" s="27">
        <f>'2-Digit Lotto Table'!C55</f>
        <v>110</v>
      </c>
      <c r="N5" s="28">
        <v>60</v>
      </c>
      <c r="O5" s="27">
        <f>'2-Digit Lotto Table'!C65</f>
        <v>0</v>
      </c>
      <c r="P5" s="28">
        <v>70</v>
      </c>
      <c r="Q5" s="27">
        <f>'2-Digit Lotto Table'!C75</f>
        <v>120</v>
      </c>
      <c r="R5" s="28">
        <v>80</v>
      </c>
      <c r="S5" s="27">
        <f>'2-Digit Lotto Table'!C85</f>
        <v>30</v>
      </c>
      <c r="T5" s="40">
        <v>90</v>
      </c>
      <c r="U5" s="43">
        <f>'2-Digit Lotto Table'!C95</f>
        <v>75</v>
      </c>
    </row>
    <row r="6" spans="1:21" x14ac:dyDescent="0.25">
      <c r="B6" s="38">
        <v>1</v>
      </c>
      <c r="C6" s="42">
        <f>'2-Digit Lotto Table'!C6</f>
        <v>50</v>
      </c>
      <c r="D6" s="39">
        <v>11</v>
      </c>
      <c r="E6" s="42">
        <f>'2-Digit Lotto Table'!C16</f>
        <v>130</v>
      </c>
      <c r="F6" s="39">
        <v>21</v>
      </c>
      <c r="G6" s="42">
        <f>'2-Digit Lotto Table'!C26</f>
        <v>180</v>
      </c>
      <c r="H6" s="39">
        <v>31</v>
      </c>
      <c r="I6" s="42">
        <f>'2-Digit Lotto Table'!C36</f>
        <v>110</v>
      </c>
      <c r="J6" s="39">
        <v>41</v>
      </c>
      <c r="K6" s="27">
        <f>'2-Digit Lotto Table'!C46</f>
        <v>170</v>
      </c>
      <c r="L6" s="28">
        <v>51</v>
      </c>
      <c r="M6" s="27">
        <f>'2-Digit Lotto Table'!C56</f>
        <v>290</v>
      </c>
      <c r="N6" s="28">
        <v>61</v>
      </c>
      <c r="O6" s="27">
        <f>'2-Digit Lotto Table'!C66</f>
        <v>250</v>
      </c>
      <c r="P6" s="28">
        <v>71</v>
      </c>
      <c r="Q6" s="27">
        <f>'2-Digit Lotto Table'!C76</f>
        <v>290</v>
      </c>
      <c r="R6" s="28">
        <v>81</v>
      </c>
      <c r="S6" s="27">
        <f>'2-Digit Lotto Table'!C86</f>
        <v>470</v>
      </c>
      <c r="T6" s="40">
        <v>91</v>
      </c>
      <c r="U6" s="43">
        <f>'2-Digit Lotto Table'!C96</f>
        <v>650</v>
      </c>
    </row>
    <row r="7" spans="1:21" x14ac:dyDescent="0.25">
      <c r="B7" s="38">
        <v>2</v>
      </c>
      <c r="C7" s="42">
        <f>'2-Digit Lotto Table'!C7</f>
        <v>10</v>
      </c>
      <c r="D7" s="39">
        <v>12</v>
      </c>
      <c r="E7" s="42">
        <f>'2-Digit Lotto Table'!C17</f>
        <v>100</v>
      </c>
      <c r="F7" s="39">
        <v>22</v>
      </c>
      <c r="G7" s="42">
        <f>'2-Digit Lotto Table'!C27</f>
        <v>110</v>
      </c>
      <c r="H7" s="39">
        <v>32</v>
      </c>
      <c r="I7" s="42">
        <f>'2-Digit Lotto Table'!C37</f>
        <v>730</v>
      </c>
      <c r="J7" s="39">
        <v>42</v>
      </c>
      <c r="K7" s="27">
        <f>'2-Digit Lotto Table'!C47</f>
        <v>330</v>
      </c>
      <c r="L7" s="28">
        <v>52</v>
      </c>
      <c r="M7" s="27">
        <f>'2-Digit Lotto Table'!C57</f>
        <v>870</v>
      </c>
      <c r="N7" s="28">
        <v>62</v>
      </c>
      <c r="O7" s="27">
        <f>'2-Digit Lotto Table'!C67</f>
        <v>350</v>
      </c>
      <c r="P7" s="28">
        <v>72</v>
      </c>
      <c r="Q7" s="27">
        <f>'2-Digit Lotto Table'!C77</f>
        <v>550</v>
      </c>
      <c r="R7" s="28">
        <v>82</v>
      </c>
      <c r="S7" s="27">
        <f>'2-Digit Lotto Table'!C87</f>
        <v>20</v>
      </c>
      <c r="T7" s="40">
        <v>92</v>
      </c>
      <c r="U7" s="43">
        <f>'2-Digit Lotto Table'!C97</f>
        <v>2630</v>
      </c>
    </row>
    <row r="8" spans="1:21" x14ac:dyDescent="0.25">
      <c r="B8" s="38">
        <v>3</v>
      </c>
      <c r="C8" s="42">
        <f>'2-Digit Lotto Table'!C8</f>
        <v>90</v>
      </c>
      <c r="D8" s="39">
        <v>13</v>
      </c>
      <c r="E8" s="42">
        <f>'2-Digit Lotto Table'!C18</f>
        <v>80</v>
      </c>
      <c r="F8" s="39">
        <v>23</v>
      </c>
      <c r="G8" s="42">
        <f>'2-Digit Lotto Table'!C28</f>
        <v>850</v>
      </c>
      <c r="H8" s="39">
        <v>33</v>
      </c>
      <c r="I8" s="42">
        <f>'2-Digit Lotto Table'!C38</f>
        <v>100</v>
      </c>
      <c r="J8" s="39">
        <v>43</v>
      </c>
      <c r="K8" s="27">
        <f>'2-Digit Lotto Table'!C48</f>
        <v>400</v>
      </c>
      <c r="L8" s="28">
        <v>53</v>
      </c>
      <c r="M8" s="27">
        <f>'2-Digit Lotto Table'!C58</f>
        <v>200</v>
      </c>
      <c r="N8" s="28">
        <v>63</v>
      </c>
      <c r="O8" s="27">
        <f>'2-Digit Lotto Table'!C68</f>
        <v>120</v>
      </c>
      <c r="P8" s="28">
        <v>73</v>
      </c>
      <c r="Q8" s="27">
        <f>'2-Digit Lotto Table'!C78</f>
        <v>460</v>
      </c>
      <c r="R8" s="28">
        <v>83</v>
      </c>
      <c r="S8" s="27">
        <f>'2-Digit Lotto Table'!C88</f>
        <v>0</v>
      </c>
      <c r="T8" s="40">
        <v>93</v>
      </c>
      <c r="U8" s="43">
        <f>'2-Digit Lotto Table'!C98</f>
        <v>800</v>
      </c>
    </row>
    <row r="9" spans="1:21" x14ac:dyDescent="0.25">
      <c r="B9" s="38">
        <v>4</v>
      </c>
      <c r="C9" s="42">
        <f>'2-Digit Lotto Table'!C9</f>
        <v>40</v>
      </c>
      <c r="D9" s="39">
        <v>14</v>
      </c>
      <c r="E9" s="42">
        <f>'2-Digit Lotto Table'!C19</f>
        <v>190</v>
      </c>
      <c r="F9" s="39">
        <v>24</v>
      </c>
      <c r="G9" s="42">
        <f>'2-Digit Lotto Table'!C29</f>
        <v>580</v>
      </c>
      <c r="H9" s="39">
        <v>34</v>
      </c>
      <c r="I9" s="42">
        <f>'2-Digit Lotto Table'!C39</f>
        <v>400</v>
      </c>
      <c r="J9" s="39">
        <v>44</v>
      </c>
      <c r="K9" s="27">
        <f>'2-Digit Lotto Table'!C49</f>
        <v>0</v>
      </c>
      <c r="L9" s="28">
        <v>54</v>
      </c>
      <c r="M9" s="27">
        <f>'2-Digit Lotto Table'!C59</f>
        <v>340</v>
      </c>
      <c r="N9" s="28">
        <v>64</v>
      </c>
      <c r="O9" s="27">
        <f>'2-Digit Lotto Table'!C69</f>
        <v>160</v>
      </c>
      <c r="P9" s="28">
        <v>74</v>
      </c>
      <c r="Q9" s="27">
        <f>'2-Digit Lotto Table'!C79</f>
        <v>530</v>
      </c>
      <c r="R9" s="28">
        <v>84</v>
      </c>
      <c r="S9" s="27">
        <f>'2-Digit Lotto Table'!C89</f>
        <v>370</v>
      </c>
      <c r="T9" s="40">
        <v>94</v>
      </c>
      <c r="U9" s="43">
        <f>'2-Digit Lotto Table'!C99</f>
        <v>40</v>
      </c>
    </row>
    <row r="10" spans="1:21" x14ac:dyDescent="0.25">
      <c r="B10" s="38">
        <v>5</v>
      </c>
      <c r="C10" s="42">
        <f>'2-Digit Lotto Table'!C10</f>
        <v>360</v>
      </c>
      <c r="D10" s="39">
        <v>15</v>
      </c>
      <c r="E10" s="42">
        <f>'2-Digit Lotto Table'!C20</f>
        <v>480</v>
      </c>
      <c r="F10" s="39">
        <v>25</v>
      </c>
      <c r="G10" s="42">
        <f>'2-Digit Lotto Table'!C30</f>
        <v>2100</v>
      </c>
      <c r="H10" s="39">
        <v>35</v>
      </c>
      <c r="I10" s="42">
        <f>'2-Digit Lotto Table'!C40</f>
        <v>250</v>
      </c>
      <c r="J10" s="39">
        <v>45</v>
      </c>
      <c r="K10" s="27">
        <f>'2-Digit Lotto Table'!C50</f>
        <v>440</v>
      </c>
      <c r="L10" s="28">
        <v>55</v>
      </c>
      <c r="M10" s="27">
        <f>'2-Digit Lotto Table'!C60</f>
        <v>200</v>
      </c>
      <c r="N10" s="28">
        <v>65</v>
      </c>
      <c r="O10" s="27">
        <f>'2-Digit Lotto Table'!C70</f>
        <v>210</v>
      </c>
      <c r="P10" s="28">
        <v>75</v>
      </c>
      <c r="Q10" s="27">
        <f>'2-Digit Lotto Table'!C80</f>
        <v>840</v>
      </c>
      <c r="R10" s="28">
        <v>85</v>
      </c>
      <c r="S10" s="27">
        <f>'2-Digit Lotto Table'!C90</f>
        <v>1240</v>
      </c>
      <c r="T10" s="40">
        <v>95</v>
      </c>
      <c r="U10" s="43">
        <f>'2-Digit Lotto Table'!C100</f>
        <v>290</v>
      </c>
    </row>
    <row r="11" spans="1:21" x14ac:dyDescent="0.25">
      <c r="B11" s="38">
        <v>6</v>
      </c>
      <c r="C11" s="42">
        <f>'2-Digit Lotto Table'!C11</f>
        <v>0</v>
      </c>
      <c r="D11" s="39">
        <v>16</v>
      </c>
      <c r="E11" s="42">
        <f>'2-Digit Lotto Table'!C21</f>
        <v>220</v>
      </c>
      <c r="F11" s="39">
        <v>26</v>
      </c>
      <c r="G11" s="42">
        <f>'2-Digit Lotto Table'!C31</f>
        <v>350</v>
      </c>
      <c r="H11" s="39">
        <v>36</v>
      </c>
      <c r="I11" s="42">
        <f>'2-Digit Lotto Table'!C41</f>
        <v>120</v>
      </c>
      <c r="J11" s="39">
        <v>46</v>
      </c>
      <c r="K11" s="27">
        <f>'2-Digit Lotto Table'!C51</f>
        <v>160</v>
      </c>
      <c r="L11" s="28">
        <v>56</v>
      </c>
      <c r="M11" s="27">
        <f>'2-Digit Lotto Table'!C61</f>
        <v>310</v>
      </c>
      <c r="N11" s="28">
        <v>66</v>
      </c>
      <c r="O11" s="27">
        <f>'2-Digit Lotto Table'!C71</f>
        <v>100</v>
      </c>
      <c r="P11" s="28">
        <v>76</v>
      </c>
      <c r="Q11" s="27">
        <f>'2-Digit Lotto Table'!C81</f>
        <v>230</v>
      </c>
      <c r="R11" s="28">
        <v>86</v>
      </c>
      <c r="S11" s="27">
        <f>'2-Digit Lotto Table'!C91</f>
        <v>250</v>
      </c>
      <c r="T11" s="40">
        <v>96</v>
      </c>
      <c r="U11" s="43">
        <f>'2-Digit Lotto Table'!C101</f>
        <v>70</v>
      </c>
    </row>
    <row r="12" spans="1:21" x14ac:dyDescent="0.25">
      <c r="B12" s="38">
        <v>7</v>
      </c>
      <c r="C12" s="42">
        <f>'2-Digit Lotto Table'!C12</f>
        <v>120</v>
      </c>
      <c r="D12" s="39">
        <v>17</v>
      </c>
      <c r="E12" s="42">
        <f>'2-Digit Lotto Table'!C22</f>
        <v>610</v>
      </c>
      <c r="F12" s="39">
        <v>27</v>
      </c>
      <c r="G12" s="42">
        <f>'2-Digit Lotto Table'!C32</f>
        <v>500</v>
      </c>
      <c r="H12" s="39">
        <v>37</v>
      </c>
      <c r="I12" s="42">
        <f>'2-Digit Lotto Table'!C42</f>
        <v>520</v>
      </c>
      <c r="J12" s="39">
        <v>47</v>
      </c>
      <c r="K12" s="27">
        <f>'2-Digit Lotto Table'!C52</f>
        <v>480</v>
      </c>
      <c r="L12" s="28">
        <v>57</v>
      </c>
      <c r="M12" s="27">
        <f>'2-Digit Lotto Table'!C62</f>
        <v>790</v>
      </c>
      <c r="N12" s="28">
        <v>67</v>
      </c>
      <c r="O12" s="27">
        <f>'2-Digit Lotto Table'!C72</f>
        <v>230</v>
      </c>
      <c r="P12" s="28">
        <v>77</v>
      </c>
      <c r="Q12" s="27">
        <f>'2-Digit Lotto Table'!C82</f>
        <v>0</v>
      </c>
      <c r="R12" s="28">
        <v>87</v>
      </c>
      <c r="S12" s="27">
        <f>'2-Digit Lotto Table'!C92</f>
        <v>790</v>
      </c>
      <c r="T12" s="40">
        <v>97</v>
      </c>
      <c r="U12" s="43">
        <f>'2-Digit Lotto Table'!C102</f>
        <v>240</v>
      </c>
    </row>
    <row r="13" spans="1:21" x14ac:dyDescent="0.25">
      <c r="B13" s="38">
        <v>8</v>
      </c>
      <c r="C13" s="42">
        <f>'2-Digit Lotto Table'!C13</f>
        <v>50</v>
      </c>
      <c r="D13" s="39">
        <v>18</v>
      </c>
      <c r="E13" s="42">
        <f>'2-Digit Lotto Table'!C23</f>
        <v>440</v>
      </c>
      <c r="F13" s="39">
        <v>28</v>
      </c>
      <c r="G13" s="42">
        <f>'2-Digit Lotto Table'!C33</f>
        <v>20</v>
      </c>
      <c r="H13" s="39">
        <v>38</v>
      </c>
      <c r="I13" s="42">
        <f>'2-Digit Lotto Table'!C43</f>
        <v>60</v>
      </c>
      <c r="J13" s="39">
        <v>48</v>
      </c>
      <c r="K13" s="27">
        <f>'2-Digit Lotto Table'!C53</f>
        <v>400</v>
      </c>
      <c r="L13" s="28">
        <v>58</v>
      </c>
      <c r="M13" s="27">
        <f>'2-Digit Lotto Table'!C63</f>
        <v>1540</v>
      </c>
      <c r="N13" s="28">
        <v>68</v>
      </c>
      <c r="O13" s="27">
        <f>'2-Digit Lotto Table'!C73</f>
        <v>250</v>
      </c>
      <c r="P13" s="28">
        <v>78</v>
      </c>
      <c r="Q13" s="27">
        <f>'2-Digit Lotto Table'!C83</f>
        <v>1190</v>
      </c>
      <c r="R13" s="28">
        <v>88</v>
      </c>
      <c r="S13" s="27">
        <f>'2-Digit Lotto Table'!C93</f>
        <v>170</v>
      </c>
      <c r="T13" s="40">
        <v>98</v>
      </c>
      <c r="U13" s="43">
        <f>'2-Digit Lotto Table'!C103</f>
        <v>90</v>
      </c>
    </row>
    <row r="14" spans="1:21" x14ac:dyDescent="0.25">
      <c r="B14" s="38">
        <v>9</v>
      </c>
      <c r="C14" s="42">
        <f>'2-Digit Lotto Table'!C14</f>
        <v>75</v>
      </c>
      <c r="D14" s="39">
        <v>19</v>
      </c>
      <c r="E14" s="42">
        <f>'2-Digit Lotto Table'!C24</f>
        <v>800</v>
      </c>
      <c r="F14" s="39">
        <v>29</v>
      </c>
      <c r="G14" s="42">
        <f>'2-Digit Lotto Table'!C34</f>
        <v>730</v>
      </c>
      <c r="H14" s="39">
        <v>39</v>
      </c>
      <c r="I14" s="42">
        <f>'2-Digit Lotto Table'!C44</f>
        <v>900</v>
      </c>
      <c r="J14" s="39">
        <v>49</v>
      </c>
      <c r="K14" s="27">
        <f>'2-Digit Lotto Table'!C54</f>
        <v>40</v>
      </c>
      <c r="L14" s="28">
        <v>59</v>
      </c>
      <c r="M14" s="27">
        <f>'2-Digit Lotto Table'!C64</f>
        <v>650</v>
      </c>
      <c r="N14" s="28">
        <v>69</v>
      </c>
      <c r="O14" s="27">
        <f>'2-Digit Lotto Table'!C74</f>
        <v>70</v>
      </c>
      <c r="P14" s="28">
        <v>79</v>
      </c>
      <c r="Q14" s="27">
        <f>'2-Digit Lotto Table'!C84</f>
        <v>240</v>
      </c>
      <c r="R14" s="28">
        <v>89</v>
      </c>
      <c r="S14" s="27">
        <f>'2-Digit Lotto Table'!C94</f>
        <v>90</v>
      </c>
      <c r="T14" s="40">
        <v>99</v>
      </c>
      <c r="U14" s="43">
        <f>'2-Digit Lotto Table'!C104</f>
        <v>100</v>
      </c>
    </row>
    <row r="15" spans="1:21" x14ac:dyDescent="0.3">
      <c r="L15" s="34"/>
      <c r="M15" s="35"/>
      <c r="N15" s="34"/>
      <c r="O15" s="35"/>
      <c r="P15" s="34"/>
      <c r="Q15" s="35"/>
      <c r="R15" s="34"/>
      <c r="S15" s="35"/>
    </row>
    <row r="16" spans="1:21" x14ac:dyDescent="0.3">
      <c r="L16" s="35"/>
      <c r="M16" s="35"/>
      <c r="N16" s="35"/>
      <c r="O16" s="35"/>
      <c r="P16" s="35"/>
      <c r="Q16" s="35"/>
      <c r="R16" s="35"/>
      <c r="S16" s="35"/>
    </row>
    <row r="17" spans="2:21" x14ac:dyDescent="0.3">
      <c r="B17" s="65" t="s">
        <v>26</v>
      </c>
      <c r="C17" s="65"/>
      <c r="D17" s="65"/>
      <c r="E17" s="6">
        <f>'2-Digit Lotto Table'!G2</f>
        <v>34570</v>
      </c>
    </row>
    <row r="19" spans="2:21" x14ac:dyDescent="0.25">
      <c r="B19" s="38">
        <v>0</v>
      </c>
      <c r="C19" s="42">
        <f>'2-Digit Lotto Table'!G5</f>
        <v>50</v>
      </c>
      <c r="D19" s="39">
        <v>10</v>
      </c>
      <c r="E19" s="42">
        <f>'2-Digit Lotto Table'!G24</f>
        <v>700</v>
      </c>
      <c r="F19" s="39">
        <v>20</v>
      </c>
      <c r="G19" s="42">
        <f>'2-Digit Lotto Table'!G34</f>
        <v>2030</v>
      </c>
      <c r="H19" s="39">
        <v>30</v>
      </c>
      <c r="I19" s="42">
        <f>'2-Digit Lotto Table'!G44</f>
        <v>820</v>
      </c>
      <c r="J19" s="39">
        <v>40</v>
      </c>
      <c r="K19" s="27">
        <f>'2-Digit Lotto Table'!G54</f>
        <v>70</v>
      </c>
      <c r="L19" s="28">
        <v>50</v>
      </c>
      <c r="M19" s="27">
        <f>'2-Digit Lotto Table'!G54</f>
        <v>70</v>
      </c>
      <c r="N19" s="28">
        <v>60</v>
      </c>
      <c r="O19" s="27">
        <f>'2-Digit Lotto Table'!G64</f>
        <v>630</v>
      </c>
      <c r="P19" s="28">
        <v>70</v>
      </c>
      <c r="Q19" s="27">
        <f>'2-Digit Lotto Table'!G74</f>
        <v>50</v>
      </c>
      <c r="R19" s="28">
        <v>80</v>
      </c>
      <c r="S19" s="27">
        <f>'2-Digit Lotto Table'!G84</f>
        <v>260</v>
      </c>
      <c r="T19" s="40">
        <v>90</v>
      </c>
      <c r="U19" s="43">
        <f>'2-Digit Lotto Table'!G94</f>
        <v>90</v>
      </c>
    </row>
    <row r="20" spans="2:21" x14ac:dyDescent="0.25">
      <c r="B20" s="38">
        <v>1</v>
      </c>
      <c r="C20" s="42">
        <f>'2-Digit Lotto Table'!G6</f>
        <v>50</v>
      </c>
      <c r="D20" s="39">
        <v>11</v>
      </c>
      <c r="E20" s="42">
        <f>'2-Digit Lotto Table'!G25</f>
        <v>10</v>
      </c>
      <c r="F20" s="39">
        <v>21</v>
      </c>
      <c r="G20" s="42">
        <f>'2-Digit Lotto Table'!G35</f>
        <v>100</v>
      </c>
      <c r="H20" s="39">
        <v>31</v>
      </c>
      <c r="I20" s="42">
        <f>'2-Digit Lotto Table'!G45</f>
        <v>40</v>
      </c>
      <c r="J20" s="39">
        <v>41</v>
      </c>
      <c r="K20" s="27">
        <f>'2-Digit Lotto Table'!G55</f>
        <v>130</v>
      </c>
      <c r="L20" s="28">
        <v>51</v>
      </c>
      <c r="M20" s="27">
        <f>'2-Digit Lotto Table'!G55</f>
        <v>130</v>
      </c>
      <c r="N20" s="28">
        <v>61</v>
      </c>
      <c r="O20" s="27">
        <f>'2-Digit Lotto Table'!G65</f>
        <v>0</v>
      </c>
      <c r="P20" s="28">
        <v>71</v>
      </c>
      <c r="Q20" s="27">
        <f>'2-Digit Lotto Table'!G75</f>
        <v>130</v>
      </c>
      <c r="R20" s="28">
        <v>81</v>
      </c>
      <c r="S20" s="27">
        <f>'2-Digit Lotto Table'!G85</f>
        <v>30</v>
      </c>
      <c r="T20" s="40">
        <v>91</v>
      </c>
      <c r="U20" s="43">
        <f>'2-Digit Lotto Table'!G95</f>
        <v>75</v>
      </c>
    </row>
    <row r="21" spans="2:21" x14ac:dyDescent="0.25">
      <c r="B21" s="38">
        <v>2</v>
      </c>
      <c r="C21" s="42">
        <f>'2-Digit Lotto Table'!G7</f>
        <v>10</v>
      </c>
      <c r="D21" s="39">
        <v>12</v>
      </c>
      <c r="E21" s="42">
        <f>'2-Digit Lotto Table'!G26</f>
        <v>130</v>
      </c>
      <c r="F21" s="39">
        <v>22</v>
      </c>
      <c r="G21" s="42">
        <f>'2-Digit Lotto Table'!G36</f>
        <v>140</v>
      </c>
      <c r="H21" s="39">
        <v>32</v>
      </c>
      <c r="I21" s="42">
        <f>'2-Digit Lotto Table'!G46</f>
        <v>150</v>
      </c>
      <c r="J21" s="39">
        <v>42</v>
      </c>
      <c r="K21" s="27">
        <f>'2-Digit Lotto Table'!G56</f>
        <v>290</v>
      </c>
      <c r="L21" s="28">
        <v>52</v>
      </c>
      <c r="M21" s="27">
        <f>'2-Digit Lotto Table'!G56</f>
        <v>290</v>
      </c>
      <c r="N21" s="28">
        <v>62</v>
      </c>
      <c r="O21" s="27">
        <f>'2-Digit Lotto Table'!G66</f>
        <v>200</v>
      </c>
      <c r="P21" s="28">
        <v>72</v>
      </c>
      <c r="Q21" s="27">
        <f>'2-Digit Lotto Table'!G76</f>
        <v>290</v>
      </c>
      <c r="R21" s="28">
        <v>82</v>
      </c>
      <c r="S21" s="27">
        <f>'2-Digit Lotto Table'!G86</f>
        <v>450</v>
      </c>
      <c r="T21" s="40">
        <v>92</v>
      </c>
      <c r="U21" s="43">
        <f>'2-Digit Lotto Table'!G96</f>
        <v>650</v>
      </c>
    </row>
    <row r="22" spans="2:21" x14ac:dyDescent="0.25">
      <c r="B22" s="38">
        <v>3</v>
      </c>
      <c r="C22" s="42">
        <f>'2-Digit Lotto Table'!G8</f>
        <v>80</v>
      </c>
      <c r="D22" s="39">
        <v>13</v>
      </c>
      <c r="E22" s="42">
        <f>'2-Digit Lotto Table'!G27</f>
        <v>110</v>
      </c>
      <c r="F22" s="39">
        <v>23</v>
      </c>
      <c r="G22" s="42">
        <f>'2-Digit Lotto Table'!G37</f>
        <v>980</v>
      </c>
      <c r="H22" s="39">
        <v>33</v>
      </c>
      <c r="I22" s="42">
        <f>'2-Digit Lotto Table'!G47</f>
        <v>280</v>
      </c>
      <c r="J22" s="39">
        <v>43</v>
      </c>
      <c r="K22" s="27">
        <f>'2-Digit Lotto Table'!G57</f>
        <v>840</v>
      </c>
      <c r="L22" s="28">
        <v>53</v>
      </c>
      <c r="M22" s="27">
        <f>'2-Digit Lotto Table'!G57</f>
        <v>840</v>
      </c>
      <c r="N22" s="28">
        <v>63</v>
      </c>
      <c r="O22" s="27">
        <f>'2-Digit Lotto Table'!G67</f>
        <v>320</v>
      </c>
      <c r="P22" s="28">
        <v>73</v>
      </c>
      <c r="Q22" s="27">
        <f>'2-Digit Lotto Table'!G77</f>
        <v>600</v>
      </c>
      <c r="R22" s="28">
        <v>83</v>
      </c>
      <c r="S22" s="27">
        <f>'2-Digit Lotto Table'!G87</f>
        <v>20</v>
      </c>
      <c r="T22" s="40">
        <v>93</v>
      </c>
      <c r="U22" s="43">
        <f>'2-Digit Lotto Table'!G97</f>
        <v>730</v>
      </c>
    </row>
    <row r="23" spans="2:21" x14ac:dyDescent="0.25">
      <c r="B23" s="38">
        <v>4</v>
      </c>
      <c r="C23" s="42">
        <f>'2-Digit Lotto Table'!G9</f>
        <v>40</v>
      </c>
      <c r="D23" s="39">
        <v>14</v>
      </c>
      <c r="E23" s="42">
        <f>'2-Digit Lotto Table'!G28</f>
        <v>950</v>
      </c>
      <c r="F23" s="39">
        <v>24</v>
      </c>
      <c r="G23" s="42">
        <f>'2-Digit Lotto Table'!G38</f>
        <v>100</v>
      </c>
      <c r="H23" s="39">
        <v>34</v>
      </c>
      <c r="I23" s="42">
        <f>'2-Digit Lotto Table'!G48</f>
        <v>1000</v>
      </c>
      <c r="J23" s="39">
        <v>44</v>
      </c>
      <c r="K23" s="27">
        <f>'2-Digit Lotto Table'!G58</f>
        <v>280</v>
      </c>
      <c r="L23" s="28">
        <v>54</v>
      </c>
      <c r="M23" s="27">
        <f>'2-Digit Lotto Table'!G58</f>
        <v>280</v>
      </c>
      <c r="N23" s="28">
        <v>64</v>
      </c>
      <c r="O23" s="27">
        <f>'2-Digit Lotto Table'!G68</f>
        <v>100</v>
      </c>
      <c r="P23" s="28">
        <v>74</v>
      </c>
      <c r="Q23" s="27">
        <f>'2-Digit Lotto Table'!G78</f>
        <v>330</v>
      </c>
      <c r="R23" s="28">
        <v>84</v>
      </c>
      <c r="S23" s="27">
        <f>'2-Digit Lotto Table'!G88</f>
        <v>0</v>
      </c>
      <c r="T23" s="40">
        <v>94</v>
      </c>
      <c r="U23" s="43">
        <f>'2-Digit Lotto Table'!G98</f>
        <v>790</v>
      </c>
    </row>
    <row r="24" spans="2:21" x14ac:dyDescent="0.25">
      <c r="B24" s="38">
        <v>5</v>
      </c>
      <c r="C24" s="42">
        <f>'2-Digit Lotto Table'!G10</f>
        <v>350</v>
      </c>
      <c r="D24" s="39">
        <v>15</v>
      </c>
      <c r="E24" s="42">
        <f>'2-Digit Lotto Table'!G29</f>
        <v>530</v>
      </c>
      <c r="F24" s="39">
        <v>25</v>
      </c>
      <c r="G24" s="42">
        <f>'2-Digit Lotto Table'!G39</f>
        <v>400</v>
      </c>
      <c r="H24" s="39">
        <v>35</v>
      </c>
      <c r="I24" s="42">
        <f>'2-Digit Lotto Table'!G49</f>
        <v>0</v>
      </c>
      <c r="J24" s="39">
        <v>45</v>
      </c>
      <c r="K24" s="27">
        <f>'2-Digit Lotto Table'!G59</f>
        <v>420</v>
      </c>
      <c r="L24" s="28">
        <v>55</v>
      </c>
      <c r="M24" s="27">
        <f>'2-Digit Lotto Table'!G59</f>
        <v>420</v>
      </c>
      <c r="N24" s="28">
        <v>65</v>
      </c>
      <c r="O24" s="27">
        <f>'2-Digit Lotto Table'!G69</f>
        <v>140</v>
      </c>
      <c r="P24" s="28">
        <v>75</v>
      </c>
      <c r="Q24" s="27">
        <f>'2-Digit Lotto Table'!G79</f>
        <v>280</v>
      </c>
      <c r="R24" s="28">
        <v>85</v>
      </c>
      <c r="S24" s="27">
        <f>'2-Digit Lotto Table'!G89</f>
        <v>750</v>
      </c>
      <c r="T24" s="40">
        <v>95</v>
      </c>
      <c r="U24" s="43">
        <f>'2-Digit Lotto Table'!G99</f>
        <v>70</v>
      </c>
    </row>
    <row r="25" spans="2:21" x14ac:dyDescent="0.25">
      <c r="B25" s="38">
        <v>6</v>
      </c>
      <c r="C25" s="42">
        <f>'2-Digit Lotto Table'!G11</f>
        <v>0</v>
      </c>
      <c r="D25" s="39">
        <v>16</v>
      </c>
      <c r="E25" s="42">
        <f>'2-Digit Lotto Table'!G30</f>
        <v>2170</v>
      </c>
      <c r="F25" s="39">
        <v>26</v>
      </c>
      <c r="G25" s="42">
        <f>'2-Digit Lotto Table'!G40</f>
        <v>200</v>
      </c>
      <c r="H25" s="39">
        <v>36</v>
      </c>
      <c r="I25" s="42">
        <f>'2-Digit Lotto Table'!G50</f>
        <v>320</v>
      </c>
      <c r="J25" s="39">
        <v>46</v>
      </c>
      <c r="K25" s="27">
        <f>'2-Digit Lotto Table'!G60</f>
        <v>200</v>
      </c>
      <c r="L25" s="28">
        <v>56</v>
      </c>
      <c r="M25" s="27">
        <f>'2-Digit Lotto Table'!G60</f>
        <v>200</v>
      </c>
      <c r="N25" s="28">
        <v>66</v>
      </c>
      <c r="O25" s="27">
        <f>'2-Digit Lotto Table'!G70</f>
        <v>190</v>
      </c>
      <c r="P25" s="28">
        <v>76</v>
      </c>
      <c r="Q25" s="27">
        <f>'2-Digit Lotto Table'!G80</f>
        <v>740</v>
      </c>
      <c r="R25" s="28">
        <v>86</v>
      </c>
      <c r="S25" s="27">
        <f>'2-Digit Lotto Table'!G90</f>
        <v>1240</v>
      </c>
      <c r="T25" s="40">
        <v>96</v>
      </c>
      <c r="U25" s="43">
        <f>'2-Digit Lotto Table'!G100</f>
        <v>240</v>
      </c>
    </row>
    <row r="26" spans="2:21" x14ac:dyDescent="0.25">
      <c r="B26" s="38">
        <v>7</v>
      </c>
      <c r="C26" s="42">
        <f>'2-Digit Lotto Table'!G12</f>
        <v>100</v>
      </c>
      <c r="D26" s="39">
        <v>17</v>
      </c>
      <c r="E26" s="42">
        <f>'2-Digit Lotto Table'!G31</f>
        <v>320</v>
      </c>
      <c r="F26" s="39">
        <v>27</v>
      </c>
      <c r="G26" s="42">
        <f>'2-Digit Lotto Table'!G41</f>
        <v>130</v>
      </c>
      <c r="H26" s="39">
        <v>37</v>
      </c>
      <c r="I26" s="42">
        <f>'2-Digit Lotto Table'!G51</f>
        <v>140</v>
      </c>
      <c r="J26" s="39">
        <v>47</v>
      </c>
      <c r="K26" s="27">
        <f>'2-Digit Lotto Table'!G61</f>
        <v>490</v>
      </c>
      <c r="L26" s="28">
        <v>57</v>
      </c>
      <c r="M26" s="27">
        <f>'2-Digit Lotto Table'!G61</f>
        <v>490</v>
      </c>
      <c r="N26" s="28">
        <v>67</v>
      </c>
      <c r="O26" s="27">
        <f>'2-Digit Lotto Table'!G71</f>
        <v>100</v>
      </c>
      <c r="P26" s="28">
        <v>77</v>
      </c>
      <c r="Q26" s="27">
        <f>'2-Digit Lotto Table'!G81</f>
        <v>230</v>
      </c>
      <c r="R26" s="28">
        <v>87</v>
      </c>
      <c r="S26" s="27">
        <f>'2-Digit Lotto Table'!G91</f>
        <v>300</v>
      </c>
      <c r="T26" s="40">
        <v>97</v>
      </c>
      <c r="U26" s="43">
        <f>'2-Digit Lotto Table'!G101</f>
        <v>50</v>
      </c>
    </row>
    <row r="27" spans="2:21" x14ac:dyDescent="0.25">
      <c r="B27" s="38">
        <v>8</v>
      </c>
      <c r="C27" s="42">
        <f>'2-Digit Lotto Table'!G13</f>
        <v>50</v>
      </c>
      <c r="D27" s="39">
        <v>18</v>
      </c>
      <c r="E27" s="42">
        <f>'2-Digit Lotto Table'!G32</f>
        <v>400</v>
      </c>
      <c r="F27" s="39">
        <v>28</v>
      </c>
      <c r="G27" s="42">
        <f>'2-Digit Lotto Table'!G42</f>
        <v>520</v>
      </c>
      <c r="H27" s="39">
        <v>38</v>
      </c>
      <c r="I27" s="42">
        <f>'2-Digit Lotto Table'!G52</f>
        <v>450</v>
      </c>
      <c r="J27" s="39">
        <v>48</v>
      </c>
      <c r="K27" s="27">
        <f>'2-Digit Lotto Table'!G62</f>
        <v>890</v>
      </c>
      <c r="L27" s="28">
        <v>58</v>
      </c>
      <c r="M27" s="27">
        <f>'2-Digit Lotto Table'!G62</f>
        <v>890</v>
      </c>
      <c r="N27" s="28">
        <v>68</v>
      </c>
      <c r="O27" s="27">
        <f>'2-Digit Lotto Table'!G72</f>
        <v>230</v>
      </c>
      <c r="P27" s="28">
        <v>78</v>
      </c>
      <c r="Q27" s="27">
        <f>'2-Digit Lotto Table'!G82</f>
        <v>0</v>
      </c>
      <c r="R27" s="28">
        <v>88</v>
      </c>
      <c r="S27" s="27">
        <f>'2-Digit Lotto Table'!G92</f>
        <v>390</v>
      </c>
      <c r="T27" s="40">
        <v>98</v>
      </c>
      <c r="U27" s="43">
        <f>'2-Digit Lotto Table'!G102</f>
        <v>210</v>
      </c>
    </row>
    <row r="28" spans="2:21" x14ac:dyDescent="0.25">
      <c r="B28" s="38">
        <v>9</v>
      </c>
      <c r="C28" s="42">
        <f>'2-Digit Lotto Table'!G14</f>
        <v>75</v>
      </c>
      <c r="D28" s="39">
        <v>19</v>
      </c>
      <c r="E28" s="42">
        <f>'2-Digit Lotto Table'!G33</f>
        <v>20</v>
      </c>
      <c r="F28" s="39">
        <v>29</v>
      </c>
      <c r="G28" s="42">
        <f>'2-Digit Lotto Table'!G43</f>
        <v>90</v>
      </c>
      <c r="H28" s="39">
        <v>39</v>
      </c>
      <c r="I28" s="42">
        <f>'2-Digit Lotto Table'!G53</f>
        <v>550</v>
      </c>
      <c r="J28" s="39">
        <v>49</v>
      </c>
      <c r="K28" s="27">
        <f>'2-Digit Lotto Table'!G63</f>
        <v>1970</v>
      </c>
      <c r="L28" s="28">
        <v>59</v>
      </c>
      <c r="M28" s="27">
        <f>'2-Digit Lotto Table'!G63</f>
        <v>1970</v>
      </c>
      <c r="N28" s="28">
        <v>69</v>
      </c>
      <c r="O28" s="27">
        <f>'2-Digit Lotto Table'!G73</f>
        <v>300</v>
      </c>
      <c r="P28" s="28">
        <v>79</v>
      </c>
      <c r="Q28" s="27">
        <f>'2-Digit Lotto Table'!G83</f>
        <v>640</v>
      </c>
      <c r="R28" s="28">
        <v>89</v>
      </c>
      <c r="S28" s="27">
        <f>'2-Digit Lotto Table'!G93</f>
        <v>170</v>
      </c>
      <c r="T28" s="40">
        <v>99</v>
      </c>
      <c r="U28" s="43">
        <f>'2-Digit Lotto Table'!G103</f>
        <v>290</v>
      </c>
    </row>
  </sheetData>
  <mergeCells count="3">
    <mergeCell ref="B3:D3"/>
    <mergeCell ref="B17:D17"/>
    <mergeCell ref="A1:D1"/>
  </mergeCells>
  <conditionalFormatting sqref="C2:C1048576 E1:E2 G2:G1048576 I1:I1048576 K1:K1048576 M1:M1048576 O1:O1048576 Q1:Q1048576 S1:S1048576 U1:U1048576 E18:E1048576 E4:E16">
    <cfRule type="colorScale" priority="3">
      <colorScale>
        <cfvo type="min"/>
        <cfvo type="max"/>
        <color rgb="FFFCFCFF"/>
        <color rgb="FFF8696B"/>
      </colorScale>
    </cfRule>
  </conditionalFormatting>
  <conditionalFormatting sqref="C5:C14 E5:E14 G5:G14 I5:I14 K5:K14 M5:M14 O5:O14 Q5:Q14 S5:S14 U5:U14">
    <cfRule type="colorScale" priority="2">
      <colorScale>
        <cfvo type="min"/>
        <cfvo type="max"/>
        <color rgb="FFFCFCFF"/>
        <color rgb="FFF8696B"/>
      </colorScale>
    </cfRule>
  </conditionalFormatting>
  <conditionalFormatting sqref="C19:C28 E19:E28 G19:G28 I19:I28 K19:K28 M19:M28 O19:O28 Q19:Q28 S19:S28 U19:U28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6CD43-6E67-40EF-979A-5B0E2FCF7291}">
  <sheetPr codeName="Sheet6"/>
  <dimension ref="A1:U312"/>
  <sheetViews>
    <sheetView topLeftCell="A11" zoomScaleNormal="100" workbookViewId="0">
      <selection activeCell="W4" sqref="W4"/>
    </sheetView>
  </sheetViews>
  <sheetFormatPr defaultRowHeight="15.6" x14ac:dyDescent="0.3"/>
  <cols>
    <col min="1" max="2" width="8.88671875" style="41"/>
    <col min="3" max="3" width="8.88671875" style="45"/>
    <col min="4" max="4" width="8.88671875" style="41"/>
    <col min="5" max="5" width="8.88671875" style="45"/>
    <col min="6" max="6" width="8.88671875" style="41"/>
    <col min="7" max="7" width="8.88671875" style="45"/>
    <col min="8" max="8" width="8.88671875" style="41"/>
    <col min="9" max="9" width="8.88671875" style="45"/>
    <col min="10" max="10" width="8.88671875" style="41"/>
    <col min="11" max="11" width="8.88671875" style="45"/>
    <col min="12" max="12" width="8.88671875" style="41"/>
    <col min="13" max="13" width="8.88671875" style="45"/>
    <col min="14" max="14" width="8.88671875" style="41"/>
    <col min="15" max="15" width="8.88671875" style="45"/>
    <col min="16" max="16" width="8.88671875" style="41"/>
    <col min="17" max="17" width="8.88671875" style="45"/>
    <col min="18" max="18" width="8.88671875" style="41"/>
    <col min="19" max="19" width="8.88671875" style="45"/>
    <col min="20" max="20" width="8.88671875" style="41"/>
    <col min="21" max="21" width="8.88671875" style="45"/>
    <col min="22" max="16384" width="8.88671875" style="41"/>
  </cols>
  <sheetData>
    <row r="1" spans="1:21" ht="30" x14ac:dyDescent="0.3">
      <c r="A1" s="67" t="s">
        <v>24</v>
      </c>
      <c r="B1" s="67"/>
      <c r="C1" s="67"/>
      <c r="D1" s="67"/>
      <c r="F1" s="30" t="s">
        <v>17</v>
      </c>
      <c r="G1" s="49">
        <f>'3-Digit Lotto Table'!J2</f>
        <v>22690</v>
      </c>
    </row>
    <row r="3" spans="1:21" x14ac:dyDescent="0.3">
      <c r="B3" s="65" t="s">
        <v>20</v>
      </c>
      <c r="C3" s="65"/>
      <c r="D3" s="65"/>
      <c r="E3" s="49">
        <f>'3-Digit Lotto Table'!C2</f>
        <v>11320</v>
      </c>
    </row>
    <row r="5" spans="1:21" x14ac:dyDescent="0.3">
      <c r="B5" s="32">
        <v>0</v>
      </c>
      <c r="C5" s="44">
        <f>'3-Digit Lotto Table'!C5</f>
        <v>0</v>
      </c>
      <c r="D5" s="33">
        <v>100</v>
      </c>
      <c r="E5" s="44">
        <f>'3-Digit Lotto Table'!C105</f>
        <v>0</v>
      </c>
      <c r="F5" s="33">
        <v>200</v>
      </c>
      <c r="G5" s="44">
        <f>'3-Digit Lotto Table'!C205</f>
        <v>0</v>
      </c>
      <c r="H5" s="33">
        <v>300</v>
      </c>
      <c r="I5" s="44">
        <f>'3-Digit Lotto Table'!C305</f>
        <v>0</v>
      </c>
      <c r="J5" s="33">
        <v>400</v>
      </c>
      <c r="K5" s="46">
        <f>'3-Digit Lotto Table'!C405</f>
        <v>0</v>
      </c>
      <c r="L5" s="31">
        <v>500</v>
      </c>
      <c r="M5" s="46">
        <f>'3-Digit Lotto Table'!C505</f>
        <v>0</v>
      </c>
      <c r="N5" s="31">
        <v>600</v>
      </c>
      <c r="O5" s="46">
        <f>'3-Digit Lotto Table'!C605</f>
        <v>0</v>
      </c>
      <c r="P5" s="31">
        <v>700</v>
      </c>
      <c r="Q5" s="46">
        <f>'3-Digit Lotto Table'!C705</f>
        <v>0</v>
      </c>
      <c r="R5" s="31">
        <v>800</v>
      </c>
      <c r="S5" s="46">
        <f>'3-Digit Lotto Table'!C805</f>
        <v>0</v>
      </c>
      <c r="T5" s="36">
        <v>900</v>
      </c>
      <c r="U5" s="48">
        <f>'3-Digit Lotto Table'!C905</f>
        <v>50</v>
      </c>
    </row>
    <row r="6" spans="1:21" x14ac:dyDescent="0.3">
      <c r="B6" s="32">
        <v>1</v>
      </c>
      <c r="C6" s="44">
        <f>'3-Digit Lotto Table'!C6</f>
        <v>0</v>
      </c>
      <c r="D6" s="33">
        <v>101</v>
      </c>
      <c r="E6" s="44">
        <f>'3-Digit Lotto Table'!C106</f>
        <v>0</v>
      </c>
      <c r="F6" s="33">
        <v>201</v>
      </c>
      <c r="G6" s="44">
        <f>'3-Digit Lotto Table'!C206</f>
        <v>0</v>
      </c>
      <c r="H6" s="33">
        <v>301</v>
      </c>
      <c r="I6" s="44">
        <f>'3-Digit Lotto Table'!C306</f>
        <v>50</v>
      </c>
      <c r="J6" s="33">
        <v>401</v>
      </c>
      <c r="K6" s="46">
        <f>'3-Digit Lotto Table'!C406</f>
        <v>0</v>
      </c>
      <c r="L6" s="31">
        <v>501</v>
      </c>
      <c r="M6" s="46">
        <f>'3-Digit Lotto Table'!C506</f>
        <v>0</v>
      </c>
      <c r="N6" s="31">
        <v>601</v>
      </c>
      <c r="O6" s="46">
        <f>'3-Digit Lotto Table'!C606</f>
        <v>0</v>
      </c>
      <c r="P6" s="31">
        <v>701</v>
      </c>
      <c r="Q6" s="46">
        <f>'3-Digit Lotto Table'!C706</f>
        <v>0</v>
      </c>
      <c r="R6" s="31">
        <v>801</v>
      </c>
      <c r="S6" s="46">
        <f>'3-Digit Lotto Table'!C806</f>
        <v>0</v>
      </c>
      <c r="T6" s="36">
        <v>901</v>
      </c>
      <c r="U6" s="48">
        <f>'3-Digit Lotto Table'!C906</f>
        <v>0</v>
      </c>
    </row>
    <row r="7" spans="1:21" x14ac:dyDescent="0.3">
      <c r="B7" s="32">
        <v>2</v>
      </c>
      <c r="C7" s="44">
        <f>'3-Digit Lotto Table'!C7</f>
        <v>0</v>
      </c>
      <c r="D7" s="33">
        <v>102</v>
      </c>
      <c r="E7" s="44">
        <f>'3-Digit Lotto Table'!C107</f>
        <v>0</v>
      </c>
      <c r="F7" s="33">
        <v>202</v>
      </c>
      <c r="G7" s="44">
        <f>'3-Digit Lotto Table'!C207</f>
        <v>0</v>
      </c>
      <c r="H7" s="33">
        <v>302</v>
      </c>
      <c r="I7" s="44">
        <f>'3-Digit Lotto Table'!C307</f>
        <v>0</v>
      </c>
      <c r="J7" s="33">
        <v>402</v>
      </c>
      <c r="K7" s="46">
        <f>'3-Digit Lotto Table'!C407</f>
        <v>0</v>
      </c>
      <c r="L7" s="31">
        <v>502</v>
      </c>
      <c r="M7" s="46">
        <f>'3-Digit Lotto Table'!C507</f>
        <v>0</v>
      </c>
      <c r="N7" s="31">
        <v>602</v>
      </c>
      <c r="O7" s="46">
        <f>'3-Digit Lotto Table'!C607</f>
        <v>0</v>
      </c>
      <c r="P7" s="31">
        <v>702</v>
      </c>
      <c r="Q7" s="46">
        <f>'3-Digit Lotto Table'!C707</f>
        <v>0</v>
      </c>
      <c r="R7" s="31">
        <v>802</v>
      </c>
      <c r="S7" s="46">
        <f>'3-Digit Lotto Table'!C807</f>
        <v>0</v>
      </c>
      <c r="T7" s="36">
        <v>902</v>
      </c>
      <c r="U7" s="48">
        <f>'3-Digit Lotto Table'!C907</f>
        <v>0</v>
      </c>
    </row>
    <row r="8" spans="1:21" x14ac:dyDescent="0.3">
      <c r="B8" s="32">
        <v>3</v>
      </c>
      <c r="C8" s="44">
        <f>'3-Digit Lotto Table'!C8</f>
        <v>0</v>
      </c>
      <c r="D8" s="33">
        <v>103</v>
      </c>
      <c r="E8" s="44">
        <f>'3-Digit Lotto Table'!C108</f>
        <v>50</v>
      </c>
      <c r="F8" s="33">
        <v>203</v>
      </c>
      <c r="G8" s="44">
        <f>'3-Digit Lotto Table'!C208</f>
        <v>50</v>
      </c>
      <c r="H8" s="33">
        <v>303</v>
      </c>
      <c r="I8" s="44">
        <f>'3-Digit Lotto Table'!C308</f>
        <v>0</v>
      </c>
      <c r="J8" s="33">
        <v>403</v>
      </c>
      <c r="K8" s="46">
        <f>'3-Digit Lotto Table'!C408</f>
        <v>0</v>
      </c>
      <c r="L8" s="31">
        <v>503</v>
      </c>
      <c r="M8" s="46">
        <f>'3-Digit Lotto Table'!C508</f>
        <v>0</v>
      </c>
      <c r="N8" s="31">
        <v>603</v>
      </c>
      <c r="O8" s="46">
        <f>'3-Digit Lotto Table'!C608</f>
        <v>0</v>
      </c>
      <c r="P8" s="31">
        <v>703</v>
      </c>
      <c r="Q8" s="46">
        <f>'3-Digit Lotto Table'!C708</f>
        <v>0</v>
      </c>
      <c r="R8" s="31">
        <v>803</v>
      </c>
      <c r="S8" s="46">
        <f>'3-Digit Lotto Table'!C808</f>
        <v>0</v>
      </c>
      <c r="T8" s="36">
        <v>903</v>
      </c>
      <c r="U8" s="48">
        <f>'3-Digit Lotto Table'!C908</f>
        <v>0</v>
      </c>
    </row>
    <row r="9" spans="1:21" x14ac:dyDescent="0.3">
      <c r="B9" s="32">
        <v>4</v>
      </c>
      <c r="C9" s="44">
        <f>'3-Digit Lotto Table'!C9</f>
        <v>0</v>
      </c>
      <c r="D9" s="33">
        <v>104</v>
      </c>
      <c r="E9" s="44">
        <f>'3-Digit Lotto Table'!C109</f>
        <v>0</v>
      </c>
      <c r="F9" s="33">
        <v>204</v>
      </c>
      <c r="G9" s="44">
        <f>'3-Digit Lotto Table'!C209</f>
        <v>0</v>
      </c>
      <c r="H9" s="33">
        <v>304</v>
      </c>
      <c r="I9" s="44">
        <f>'3-Digit Lotto Table'!C309</f>
        <v>0</v>
      </c>
      <c r="J9" s="33">
        <v>404</v>
      </c>
      <c r="K9" s="46">
        <f>'3-Digit Lotto Table'!C409</f>
        <v>0</v>
      </c>
      <c r="L9" s="31">
        <v>504</v>
      </c>
      <c r="M9" s="46">
        <f>'3-Digit Lotto Table'!C509</f>
        <v>0</v>
      </c>
      <c r="N9" s="31">
        <v>604</v>
      </c>
      <c r="O9" s="46">
        <f>'3-Digit Lotto Table'!C609</f>
        <v>0</v>
      </c>
      <c r="P9" s="31">
        <v>704</v>
      </c>
      <c r="Q9" s="46">
        <f>'3-Digit Lotto Table'!C709</f>
        <v>0</v>
      </c>
      <c r="R9" s="31">
        <v>804</v>
      </c>
      <c r="S9" s="46">
        <f>'3-Digit Lotto Table'!C809</f>
        <v>0</v>
      </c>
      <c r="T9" s="36">
        <v>904</v>
      </c>
      <c r="U9" s="48">
        <f>'3-Digit Lotto Table'!C909</f>
        <v>0</v>
      </c>
    </row>
    <row r="10" spans="1:21" x14ac:dyDescent="0.3">
      <c r="B10" s="32">
        <v>5</v>
      </c>
      <c r="C10" s="44">
        <f>'3-Digit Lotto Table'!C10</f>
        <v>0</v>
      </c>
      <c r="D10" s="33">
        <v>105</v>
      </c>
      <c r="E10" s="44">
        <f>'3-Digit Lotto Table'!C110</f>
        <v>200</v>
      </c>
      <c r="F10" s="33">
        <v>205</v>
      </c>
      <c r="G10" s="44">
        <f>'3-Digit Lotto Table'!C210</f>
        <v>20</v>
      </c>
      <c r="H10" s="33">
        <v>305</v>
      </c>
      <c r="I10" s="44">
        <f>'3-Digit Lotto Table'!C310</f>
        <v>0</v>
      </c>
      <c r="J10" s="33">
        <v>405</v>
      </c>
      <c r="K10" s="46">
        <f>'3-Digit Lotto Table'!C410</f>
        <v>50</v>
      </c>
      <c r="L10" s="31">
        <v>505</v>
      </c>
      <c r="M10" s="46">
        <f>'3-Digit Lotto Table'!C510</f>
        <v>0</v>
      </c>
      <c r="N10" s="31">
        <v>605</v>
      </c>
      <c r="O10" s="46">
        <f>'3-Digit Lotto Table'!C610</f>
        <v>0</v>
      </c>
      <c r="P10" s="31">
        <v>705</v>
      </c>
      <c r="Q10" s="46">
        <f>'3-Digit Lotto Table'!C710</f>
        <v>0</v>
      </c>
      <c r="R10" s="31">
        <v>805</v>
      </c>
      <c r="S10" s="46">
        <f>'3-Digit Lotto Table'!C810</f>
        <v>0</v>
      </c>
      <c r="T10" s="36">
        <v>905</v>
      </c>
      <c r="U10" s="48">
        <f>'3-Digit Lotto Table'!C910</f>
        <v>50</v>
      </c>
    </row>
    <row r="11" spans="1:21" x14ac:dyDescent="0.3">
      <c r="B11" s="32">
        <v>6</v>
      </c>
      <c r="C11" s="44">
        <f>'3-Digit Lotto Table'!C11</f>
        <v>0</v>
      </c>
      <c r="D11" s="33">
        <v>106</v>
      </c>
      <c r="E11" s="44">
        <f>'3-Digit Lotto Table'!C111</f>
        <v>0</v>
      </c>
      <c r="F11" s="33">
        <v>206</v>
      </c>
      <c r="G11" s="44">
        <f>'3-Digit Lotto Table'!C211</f>
        <v>0</v>
      </c>
      <c r="H11" s="33">
        <v>306</v>
      </c>
      <c r="I11" s="44">
        <f>'3-Digit Lotto Table'!C311</f>
        <v>0</v>
      </c>
      <c r="J11" s="33">
        <v>406</v>
      </c>
      <c r="K11" s="46">
        <f>'3-Digit Lotto Table'!C411</f>
        <v>0</v>
      </c>
      <c r="L11" s="31">
        <v>506</v>
      </c>
      <c r="M11" s="46">
        <f>'3-Digit Lotto Table'!C511</f>
        <v>0</v>
      </c>
      <c r="N11" s="31">
        <v>606</v>
      </c>
      <c r="O11" s="46">
        <f>'3-Digit Lotto Table'!C611</f>
        <v>0</v>
      </c>
      <c r="P11" s="31">
        <v>706</v>
      </c>
      <c r="Q11" s="46">
        <f>'3-Digit Lotto Table'!C711</f>
        <v>0</v>
      </c>
      <c r="R11" s="31">
        <v>806</v>
      </c>
      <c r="S11" s="46">
        <f>'3-Digit Lotto Table'!C811</f>
        <v>0</v>
      </c>
      <c r="T11" s="36">
        <v>906</v>
      </c>
      <c r="U11" s="48">
        <f>'3-Digit Lotto Table'!C911</f>
        <v>0</v>
      </c>
    </row>
    <row r="12" spans="1:21" x14ac:dyDescent="0.3">
      <c r="B12" s="32">
        <v>7</v>
      </c>
      <c r="C12" s="44">
        <f>'3-Digit Lotto Table'!C12</f>
        <v>0</v>
      </c>
      <c r="D12" s="33">
        <v>107</v>
      </c>
      <c r="E12" s="44">
        <f>'3-Digit Lotto Table'!C112</f>
        <v>0</v>
      </c>
      <c r="F12" s="33">
        <v>207</v>
      </c>
      <c r="G12" s="44">
        <f>'3-Digit Lotto Table'!C212</f>
        <v>0</v>
      </c>
      <c r="H12" s="33">
        <v>307</v>
      </c>
      <c r="I12" s="44">
        <f>'3-Digit Lotto Table'!C312</f>
        <v>0</v>
      </c>
      <c r="J12" s="33">
        <v>407</v>
      </c>
      <c r="K12" s="46">
        <f>'3-Digit Lotto Table'!C412</f>
        <v>0</v>
      </c>
      <c r="L12" s="31">
        <v>507</v>
      </c>
      <c r="M12" s="46">
        <f>'3-Digit Lotto Table'!C512</f>
        <v>0</v>
      </c>
      <c r="N12" s="31">
        <v>607</v>
      </c>
      <c r="O12" s="46">
        <f>'3-Digit Lotto Table'!C612</f>
        <v>0</v>
      </c>
      <c r="P12" s="31">
        <v>707</v>
      </c>
      <c r="Q12" s="46">
        <f>'3-Digit Lotto Table'!C712</f>
        <v>0</v>
      </c>
      <c r="R12" s="31">
        <v>807</v>
      </c>
      <c r="S12" s="46">
        <f>'3-Digit Lotto Table'!C812</f>
        <v>0</v>
      </c>
      <c r="T12" s="36">
        <v>907</v>
      </c>
      <c r="U12" s="48">
        <f>'3-Digit Lotto Table'!C912</f>
        <v>0</v>
      </c>
    </row>
    <row r="13" spans="1:21" x14ac:dyDescent="0.3">
      <c r="B13" s="32">
        <v>8</v>
      </c>
      <c r="C13" s="44">
        <f>'3-Digit Lotto Table'!C13</f>
        <v>0</v>
      </c>
      <c r="D13" s="33">
        <v>108</v>
      </c>
      <c r="E13" s="44">
        <f>'3-Digit Lotto Table'!C113</f>
        <v>50</v>
      </c>
      <c r="F13" s="33">
        <v>208</v>
      </c>
      <c r="G13" s="44">
        <f>'3-Digit Lotto Table'!C213</f>
        <v>0</v>
      </c>
      <c r="H13" s="33">
        <v>308</v>
      </c>
      <c r="I13" s="44">
        <f>'3-Digit Lotto Table'!C313</f>
        <v>30</v>
      </c>
      <c r="J13" s="33">
        <v>408</v>
      </c>
      <c r="K13" s="46">
        <f>'3-Digit Lotto Table'!C413</f>
        <v>0</v>
      </c>
      <c r="L13" s="31">
        <v>508</v>
      </c>
      <c r="M13" s="46">
        <f>'3-Digit Lotto Table'!C513</f>
        <v>0</v>
      </c>
      <c r="N13" s="31">
        <v>608</v>
      </c>
      <c r="O13" s="46">
        <f>'3-Digit Lotto Table'!C613</f>
        <v>0</v>
      </c>
      <c r="P13" s="31">
        <v>708</v>
      </c>
      <c r="Q13" s="46">
        <f>'3-Digit Lotto Table'!C713</f>
        <v>0</v>
      </c>
      <c r="R13" s="31">
        <v>808</v>
      </c>
      <c r="S13" s="46">
        <f>'3-Digit Lotto Table'!C813</f>
        <v>0</v>
      </c>
      <c r="T13" s="36">
        <v>908</v>
      </c>
      <c r="U13" s="48">
        <f>'3-Digit Lotto Table'!C913</f>
        <v>0</v>
      </c>
    </row>
    <row r="14" spans="1:21" x14ac:dyDescent="0.3">
      <c r="B14" s="32">
        <v>9</v>
      </c>
      <c r="C14" s="44">
        <f>'3-Digit Lotto Table'!C14</f>
        <v>0</v>
      </c>
      <c r="D14" s="33">
        <v>109</v>
      </c>
      <c r="E14" s="44">
        <f>'3-Digit Lotto Table'!C114</f>
        <v>0</v>
      </c>
      <c r="F14" s="33">
        <v>209</v>
      </c>
      <c r="G14" s="44">
        <f>'3-Digit Lotto Table'!C214</f>
        <v>0</v>
      </c>
      <c r="H14" s="33">
        <v>309</v>
      </c>
      <c r="I14" s="44">
        <f>'3-Digit Lotto Table'!C314</f>
        <v>30</v>
      </c>
      <c r="J14" s="33">
        <v>409</v>
      </c>
      <c r="K14" s="46">
        <f>'3-Digit Lotto Table'!C414</f>
        <v>0</v>
      </c>
      <c r="L14" s="31">
        <v>509</v>
      </c>
      <c r="M14" s="46">
        <f>'3-Digit Lotto Table'!C514</f>
        <v>50</v>
      </c>
      <c r="N14" s="31">
        <v>609</v>
      </c>
      <c r="O14" s="46">
        <f>'3-Digit Lotto Table'!C614</f>
        <v>0</v>
      </c>
      <c r="P14" s="31">
        <v>709</v>
      </c>
      <c r="Q14" s="46">
        <f>'3-Digit Lotto Table'!C714</f>
        <v>50</v>
      </c>
      <c r="R14" s="31">
        <v>809</v>
      </c>
      <c r="S14" s="46">
        <f>'3-Digit Lotto Table'!C814</f>
        <v>0</v>
      </c>
      <c r="T14" s="36">
        <v>909</v>
      </c>
      <c r="U14" s="48">
        <f>'3-Digit Lotto Table'!C914</f>
        <v>0</v>
      </c>
    </row>
    <row r="15" spans="1:21" x14ac:dyDescent="0.3">
      <c r="B15" s="32">
        <v>10</v>
      </c>
      <c r="C15" s="44">
        <f>'3-Digit Lotto Table'!C15</f>
        <v>0</v>
      </c>
      <c r="D15" s="33">
        <v>110</v>
      </c>
      <c r="E15" s="44">
        <f>'3-Digit Lotto Table'!C115</f>
        <v>0</v>
      </c>
      <c r="F15" s="33">
        <v>210</v>
      </c>
      <c r="G15" s="44">
        <f>'3-Digit Lotto Table'!C215</f>
        <v>0</v>
      </c>
      <c r="H15" s="33">
        <v>310</v>
      </c>
      <c r="I15" s="44">
        <f>'3-Digit Lotto Table'!C315</f>
        <v>50</v>
      </c>
      <c r="J15" s="33">
        <v>410</v>
      </c>
      <c r="K15" s="46">
        <f>'3-Digit Lotto Table'!C415</f>
        <v>0</v>
      </c>
      <c r="L15" s="31">
        <v>510</v>
      </c>
      <c r="M15" s="46">
        <f>'3-Digit Lotto Table'!C515</f>
        <v>0</v>
      </c>
      <c r="N15" s="31">
        <v>610</v>
      </c>
      <c r="O15" s="46">
        <f>'3-Digit Lotto Table'!C615</f>
        <v>0</v>
      </c>
      <c r="P15" s="31">
        <v>710</v>
      </c>
      <c r="Q15" s="46">
        <f>'3-Digit Lotto Table'!C715</f>
        <v>0</v>
      </c>
      <c r="R15" s="31">
        <v>810</v>
      </c>
      <c r="S15" s="46">
        <f>'3-Digit Lotto Table'!C815</f>
        <v>0</v>
      </c>
      <c r="T15" s="36">
        <v>910</v>
      </c>
      <c r="U15" s="48">
        <f>'3-Digit Lotto Table'!C915</f>
        <v>0</v>
      </c>
    </row>
    <row r="16" spans="1:21" x14ac:dyDescent="0.3">
      <c r="B16" s="32">
        <v>11</v>
      </c>
      <c r="C16" s="44">
        <f>'3-Digit Lotto Table'!C16</f>
        <v>0</v>
      </c>
      <c r="D16" s="33">
        <v>111</v>
      </c>
      <c r="E16" s="44">
        <f>'3-Digit Lotto Table'!C116</f>
        <v>0</v>
      </c>
      <c r="F16" s="33">
        <v>211</v>
      </c>
      <c r="G16" s="44">
        <f>'3-Digit Lotto Table'!C216</f>
        <v>0</v>
      </c>
      <c r="H16" s="33">
        <v>311</v>
      </c>
      <c r="I16" s="44">
        <f>'3-Digit Lotto Table'!C316</f>
        <v>0</v>
      </c>
      <c r="J16" s="33">
        <v>411</v>
      </c>
      <c r="K16" s="46">
        <f>'3-Digit Lotto Table'!C416</f>
        <v>0</v>
      </c>
      <c r="L16" s="31">
        <v>511</v>
      </c>
      <c r="M16" s="46">
        <f>'3-Digit Lotto Table'!C516</f>
        <v>0</v>
      </c>
      <c r="N16" s="31">
        <v>611</v>
      </c>
      <c r="O16" s="46">
        <f>'3-Digit Lotto Table'!C616</f>
        <v>0</v>
      </c>
      <c r="P16" s="31">
        <v>711</v>
      </c>
      <c r="Q16" s="46">
        <f>'3-Digit Lotto Table'!C716</f>
        <v>0</v>
      </c>
      <c r="R16" s="31">
        <v>811</v>
      </c>
      <c r="S16" s="46">
        <f>'3-Digit Lotto Table'!C816</f>
        <v>0</v>
      </c>
      <c r="T16" s="36">
        <v>911</v>
      </c>
      <c r="U16" s="48">
        <f>'3-Digit Lotto Table'!C916</f>
        <v>0</v>
      </c>
    </row>
    <row r="17" spans="2:21" x14ac:dyDescent="0.3">
      <c r="B17" s="32">
        <v>12</v>
      </c>
      <c r="C17" s="44">
        <f>'3-Digit Lotto Table'!C17</f>
        <v>0</v>
      </c>
      <c r="D17" s="33">
        <v>112</v>
      </c>
      <c r="E17" s="44">
        <f>'3-Digit Lotto Table'!C117</f>
        <v>0</v>
      </c>
      <c r="F17" s="33">
        <v>212</v>
      </c>
      <c r="G17" s="44">
        <f>'3-Digit Lotto Table'!C217</f>
        <v>0</v>
      </c>
      <c r="H17" s="33">
        <v>312</v>
      </c>
      <c r="I17" s="44">
        <f>'3-Digit Lotto Table'!C317</f>
        <v>0</v>
      </c>
      <c r="J17" s="33">
        <v>412</v>
      </c>
      <c r="K17" s="46">
        <f>'3-Digit Lotto Table'!C417</f>
        <v>0</v>
      </c>
      <c r="L17" s="31">
        <v>512</v>
      </c>
      <c r="M17" s="46">
        <f>'3-Digit Lotto Table'!C517</f>
        <v>0</v>
      </c>
      <c r="N17" s="31">
        <v>612</v>
      </c>
      <c r="O17" s="46">
        <f>'3-Digit Lotto Table'!C617</f>
        <v>0</v>
      </c>
      <c r="P17" s="31">
        <v>712</v>
      </c>
      <c r="Q17" s="46">
        <f>'3-Digit Lotto Table'!C717</f>
        <v>0</v>
      </c>
      <c r="R17" s="31">
        <v>812</v>
      </c>
      <c r="S17" s="46">
        <f>'3-Digit Lotto Table'!C817</f>
        <v>0</v>
      </c>
      <c r="T17" s="36">
        <v>912</v>
      </c>
      <c r="U17" s="48">
        <f>'3-Digit Lotto Table'!C917</f>
        <v>50</v>
      </c>
    </row>
    <row r="18" spans="2:21" x14ac:dyDescent="0.3">
      <c r="B18" s="32">
        <v>13</v>
      </c>
      <c r="C18" s="44">
        <f>'3-Digit Lotto Table'!C18</f>
        <v>50</v>
      </c>
      <c r="D18" s="33">
        <v>113</v>
      </c>
      <c r="E18" s="44">
        <f>'3-Digit Lotto Table'!C118</f>
        <v>0</v>
      </c>
      <c r="F18" s="33">
        <v>213</v>
      </c>
      <c r="G18" s="44">
        <f>'3-Digit Lotto Table'!C218</f>
        <v>0</v>
      </c>
      <c r="H18" s="33">
        <v>313</v>
      </c>
      <c r="I18" s="44">
        <f>'3-Digit Lotto Table'!C318</f>
        <v>0</v>
      </c>
      <c r="J18" s="33">
        <v>413</v>
      </c>
      <c r="K18" s="46">
        <f>'3-Digit Lotto Table'!C418</f>
        <v>0</v>
      </c>
      <c r="L18" s="31">
        <v>513</v>
      </c>
      <c r="M18" s="46">
        <f>'3-Digit Lotto Table'!C518</f>
        <v>0</v>
      </c>
      <c r="N18" s="31">
        <v>613</v>
      </c>
      <c r="O18" s="46">
        <f>'3-Digit Lotto Table'!C618</f>
        <v>0</v>
      </c>
      <c r="P18" s="31">
        <v>713</v>
      </c>
      <c r="Q18" s="46">
        <f>'3-Digit Lotto Table'!C718</f>
        <v>0</v>
      </c>
      <c r="R18" s="31">
        <v>813</v>
      </c>
      <c r="S18" s="46">
        <f>'3-Digit Lotto Table'!C818</f>
        <v>0</v>
      </c>
      <c r="T18" s="36">
        <v>913</v>
      </c>
      <c r="U18" s="48">
        <f>'3-Digit Lotto Table'!C918</f>
        <v>0</v>
      </c>
    </row>
    <row r="19" spans="2:21" x14ac:dyDescent="0.3">
      <c r="B19" s="32">
        <v>14</v>
      </c>
      <c r="C19" s="44">
        <f>'3-Digit Lotto Table'!C19</f>
        <v>0</v>
      </c>
      <c r="D19" s="33">
        <v>114</v>
      </c>
      <c r="E19" s="44">
        <f>'3-Digit Lotto Table'!C119</f>
        <v>0</v>
      </c>
      <c r="F19" s="33">
        <v>214</v>
      </c>
      <c r="G19" s="44">
        <f>'3-Digit Lotto Table'!C219</f>
        <v>0</v>
      </c>
      <c r="H19" s="33">
        <v>314</v>
      </c>
      <c r="I19" s="44">
        <f>'3-Digit Lotto Table'!C319</f>
        <v>0</v>
      </c>
      <c r="J19" s="33">
        <v>414</v>
      </c>
      <c r="K19" s="46">
        <f>'3-Digit Lotto Table'!C419</f>
        <v>0</v>
      </c>
      <c r="L19" s="31">
        <v>514</v>
      </c>
      <c r="M19" s="46">
        <f>'3-Digit Lotto Table'!C519</f>
        <v>0</v>
      </c>
      <c r="N19" s="31">
        <v>614</v>
      </c>
      <c r="O19" s="46">
        <f>'3-Digit Lotto Table'!C619</f>
        <v>0</v>
      </c>
      <c r="P19" s="31">
        <v>714</v>
      </c>
      <c r="Q19" s="46">
        <f>'3-Digit Lotto Table'!C719</f>
        <v>0</v>
      </c>
      <c r="R19" s="31">
        <v>814</v>
      </c>
      <c r="S19" s="46">
        <f>'3-Digit Lotto Table'!C819</f>
        <v>0</v>
      </c>
      <c r="T19" s="36">
        <v>914</v>
      </c>
      <c r="U19" s="48">
        <f>'3-Digit Lotto Table'!C919</f>
        <v>0</v>
      </c>
    </row>
    <row r="20" spans="2:21" x14ac:dyDescent="0.3">
      <c r="B20" s="32">
        <v>15</v>
      </c>
      <c r="C20" s="44">
        <f>'3-Digit Lotto Table'!C20</f>
        <v>70</v>
      </c>
      <c r="D20" s="33">
        <v>115</v>
      </c>
      <c r="E20" s="44">
        <f>'3-Digit Lotto Table'!C120</f>
        <v>0</v>
      </c>
      <c r="F20" s="33">
        <v>215</v>
      </c>
      <c r="G20" s="44">
        <f>'3-Digit Lotto Table'!C220</f>
        <v>0</v>
      </c>
      <c r="H20" s="33">
        <v>315</v>
      </c>
      <c r="I20" s="44">
        <f>'3-Digit Lotto Table'!C320</f>
        <v>0</v>
      </c>
      <c r="J20" s="33">
        <v>415</v>
      </c>
      <c r="K20" s="46">
        <f>'3-Digit Lotto Table'!C420</f>
        <v>50</v>
      </c>
      <c r="L20" s="31">
        <v>515</v>
      </c>
      <c r="M20" s="46">
        <f>'3-Digit Lotto Table'!C520</f>
        <v>0</v>
      </c>
      <c r="N20" s="31">
        <v>615</v>
      </c>
      <c r="O20" s="46">
        <f>'3-Digit Lotto Table'!C620</f>
        <v>0</v>
      </c>
      <c r="P20" s="31">
        <v>715</v>
      </c>
      <c r="Q20" s="46">
        <f>'3-Digit Lotto Table'!C720</f>
        <v>20</v>
      </c>
      <c r="R20" s="31">
        <v>815</v>
      </c>
      <c r="S20" s="46">
        <f>'3-Digit Lotto Table'!C820</f>
        <v>50</v>
      </c>
      <c r="T20" s="36">
        <v>915</v>
      </c>
      <c r="U20" s="48">
        <f>'3-Digit Lotto Table'!C920</f>
        <v>0</v>
      </c>
    </row>
    <row r="21" spans="2:21" x14ac:dyDescent="0.3">
      <c r="B21" s="32">
        <v>16</v>
      </c>
      <c r="C21" s="44">
        <f>'3-Digit Lotto Table'!C21</f>
        <v>0</v>
      </c>
      <c r="D21" s="33">
        <v>116</v>
      </c>
      <c r="E21" s="44">
        <f>'3-Digit Lotto Table'!C121</f>
        <v>0</v>
      </c>
      <c r="F21" s="33">
        <v>216</v>
      </c>
      <c r="G21" s="44">
        <f>'3-Digit Lotto Table'!C221</f>
        <v>0</v>
      </c>
      <c r="H21" s="33">
        <v>316</v>
      </c>
      <c r="I21" s="44">
        <f>'3-Digit Lotto Table'!C321</f>
        <v>0</v>
      </c>
      <c r="J21" s="33">
        <v>416</v>
      </c>
      <c r="K21" s="46">
        <f>'3-Digit Lotto Table'!C421</f>
        <v>0</v>
      </c>
      <c r="L21" s="31">
        <v>516</v>
      </c>
      <c r="M21" s="46">
        <f>'3-Digit Lotto Table'!C521</f>
        <v>0</v>
      </c>
      <c r="N21" s="31">
        <v>616</v>
      </c>
      <c r="O21" s="46">
        <f>'3-Digit Lotto Table'!C621</f>
        <v>0</v>
      </c>
      <c r="P21" s="31">
        <v>716</v>
      </c>
      <c r="Q21" s="46">
        <f>'3-Digit Lotto Table'!C721</f>
        <v>0</v>
      </c>
      <c r="R21" s="31">
        <v>816</v>
      </c>
      <c r="S21" s="46">
        <f>'3-Digit Lotto Table'!C821</f>
        <v>0</v>
      </c>
      <c r="T21" s="36">
        <v>916</v>
      </c>
      <c r="U21" s="48">
        <f>'3-Digit Lotto Table'!C921</f>
        <v>0</v>
      </c>
    </row>
    <row r="22" spans="2:21" x14ac:dyDescent="0.3">
      <c r="B22" s="32">
        <v>17</v>
      </c>
      <c r="C22" s="44">
        <f>'3-Digit Lotto Table'!C22</f>
        <v>0</v>
      </c>
      <c r="D22" s="33">
        <v>117</v>
      </c>
      <c r="E22" s="44">
        <f>'3-Digit Lotto Table'!C122</f>
        <v>50</v>
      </c>
      <c r="F22" s="33">
        <v>217</v>
      </c>
      <c r="G22" s="44">
        <f>'3-Digit Lotto Table'!C222</f>
        <v>0</v>
      </c>
      <c r="H22" s="33">
        <v>317</v>
      </c>
      <c r="I22" s="44">
        <f>'3-Digit Lotto Table'!C322</f>
        <v>0</v>
      </c>
      <c r="J22" s="33">
        <v>417</v>
      </c>
      <c r="K22" s="46">
        <f>'3-Digit Lotto Table'!C422</f>
        <v>100</v>
      </c>
      <c r="L22" s="31">
        <v>517</v>
      </c>
      <c r="M22" s="46">
        <f>'3-Digit Lotto Table'!C522</f>
        <v>0</v>
      </c>
      <c r="N22" s="31">
        <v>617</v>
      </c>
      <c r="O22" s="46">
        <f>'3-Digit Lotto Table'!C622</f>
        <v>0</v>
      </c>
      <c r="P22" s="31">
        <v>717</v>
      </c>
      <c r="Q22" s="46">
        <f>'3-Digit Lotto Table'!C722</f>
        <v>0</v>
      </c>
      <c r="R22" s="31">
        <v>817</v>
      </c>
      <c r="S22" s="46">
        <f>'3-Digit Lotto Table'!C822</f>
        <v>0</v>
      </c>
      <c r="T22" s="36">
        <v>917</v>
      </c>
      <c r="U22" s="48">
        <f>'3-Digit Lotto Table'!C922</f>
        <v>0</v>
      </c>
    </row>
    <row r="23" spans="2:21" x14ac:dyDescent="0.3">
      <c r="B23" s="32">
        <v>18</v>
      </c>
      <c r="C23" s="44">
        <f>'3-Digit Lotto Table'!C23</f>
        <v>0</v>
      </c>
      <c r="D23" s="33">
        <v>118</v>
      </c>
      <c r="E23" s="44">
        <f>'3-Digit Lotto Table'!C123</f>
        <v>0</v>
      </c>
      <c r="F23" s="33">
        <v>218</v>
      </c>
      <c r="G23" s="44">
        <f>'3-Digit Lotto Table'!C223</f>
        <v>0</v>
      </c>
      <c r="H23" s="33">
        <v>318</v>
      </c>
      <c r="I23" s="44">
        <f>'3-Digit Lotto Table'!C323</f>
        <v>0</v>
      </c>
      <c r="J23" s="33">
        <v>418</v>
      </c>
      <c r="K23" s="46">
        <f>'3-Digit Lotto Table'!C423</f>
        <v>0</v>
      </c>
      <c r="L23" s="31">
        <v>518</v>
      </c>
      <c r="M23" s="46">
        <f>'3-Digit Lotto Table'!C523</f>
        <v>50</v>
      </c>
      <c r="N23" s="31">
        <v>618</v>
      </c>
      <c r="O23" s="46">
        <f>'3-Digit Lotto Table'!C623</f>
        <v>0</v>
      </c>
      <c r="P23" s="31">
        <v>718</v>
      </c>
      <c r="Q23" s="46">
        <f>'3-Digit Lotto Table'!C723</f>
        <v>0</v>
      </c>
      <c r="R23" s="31">
        <v>818</v>
      </c>
      <c r="S23" s="46">
        <f>'3-Digit Lotto Table'!C823</f>
        <v>0</v>
      </c>
      <c r="T23" s="36">
        <v>918</v>
      </c>
      <c r="U23" s="48">
        <f>'3-Digit Lotto Table'!C923</f>
        <v>0</v>
      </c>
    </row>
    <row r="24" spans="2:21" x14ac:dyDescent="0.3">
      <c r="B24" s="32">
        <v>19</v>
      </c>
      <c r="C24" s="44">
        <f>'3-Digit Lotto Table'!C24</f>
        <v>0</v>
      </c>
      <c r="D24" s="33">
        <v>119</v>
      </c>
      <c r="E24" s="44">
        <f>'3-Digit Lotto Table'!C124</f>
        <v>0</v>
      </c>
      <c r="F24" s="33">
        <v>219</v>
      </c>
      <c r="G24" s="44">
        <f>'3-Digit Lotto Table'!C224</f>
        <v>50</v>
      </c>
      <c r="H24" s="33">
        <v>319</v>
      </c>
      <c r="I24" s="44">
        <f>'3-Digit Lotto Table'!C324</f>
        <v>0</v>
      </c>
      <c r="J24" s="33">
        <v>419</v>
      </c>
      <c r="K24" s="46">
        <f>'3-Digit Lotto Table'!C424</f>
        <v>0</v>
      </c>
      <c r="L24" s="31">
        <v>519</v>
      </c>
      <c r="M24" s="46">
        <f>'3-Digit Lotto Table'!C524</f>
        <v>0</v>
      </c>
      <c r="N24" s="31">
        <v>619</v>
      </c>
      <c r="O24" s="46">
        <f>'3-Digit Lotto Table'!C624</f>
        <v>0</v>
      </c>
      <c r="P24" s="31">
        <v>719</v>
      </c>
      <c r="Q24" s="46">
        <f>'3-Digit Lotto Table'!C724</f>
        <v>0</v>
      </c>
      <c r="R24" s="31">
        <v>819</v>
      </c>
      <c r="S24" s="46">
        <f>'3-Digit Lotto Table'!C824</f>
        <v>0</v>
      </c>
      <c r="T24" s="36">
        <v>919</v>
      </c>
      <c r="U24" s="48">
        <f>'3-Digit Lotto Table'!C924</f>
        <v>0</v>
      </c>
    </row>
    <row r="25" spans="2:21" x14ac:dyDescent="0.3">
      <c r="B25" s="32">
        <v>20</v>
      </c>
      <c r="C25" s="44">
        <f>'3-Digit Lotto Table'!C25</f>
        <v>0</v>
      </c>
      <c r="D25" s="33">
        <v>120</v>
      </c>
      <c r="E25" s="44">
        <f>'3-Digit Lotto Table'!C125</f>
        <v>0</v>
      </c>
      <c r="F25" s="33">
        <v>220</v>
      </c>
      <c r="G25" s="44">
        <f>'3-Digit Lotto Table'!C225</f>
        <v>0</v>
      </c>
      <c r="H25" s="33">
        <v>320</v>
      </c>
      <c r="I25" s="44">
        <f>'3-Digit Lotto Table'!C325</f>
        <v>100</v>
      </c>
      <c r="J25" s="33">
        <v>420</v>
      </c>
      <c r="K25" s="46">
        <f>'3-Digit Lotto Table'!C425</f>
        <v>0</v>
      </c>
      <c r="L25" s="31">
        <v>520</v>
      </c>
      <c r="M25" s="46">
        <f>'3-Digit Lotto Table'!C525</f>
        <v>0</v>
      </c>
      <c r="N25" s="31">
        <v>620</v>
      </c>
      <c r="O25" s="46">
        <f>'3-Digit Lotto Table'!C625</f>
        <v>0</v>
      </c>
      <c r="P25" s="31">
        <v>720</v>
      </c>
      <c r="Q25" s="46">
        <f>'3-Digit Lotto Table'!C725</f>
        <v>300</v>
      </c>
      <c r="R25" s="31">
        <v>820</v>
      </c>
      <c r="S25" s="46">
        <f>'3-Digit Lotto Table'!C825</f>
        <v>0</v>
      </c>
      <c r="T25" s="36">
        <v>920</v>
      </c>
      <c r="U25" s="48">
        <f>'3-Digit Lotto Table'!C925</f>
        <v>0</v>
      </c>
    </row>
    <row r="26" spans="2:21" x14ac:dyDescent="0.3">
      <c r="B26" s="32">
        <v>21</v>
      </c>
      <c r="C26" s="44">
        <f>'3-Digit Lotto Table'!C26</f>
        <v>0</v>
      </c>
      <c r="D26" s="33">
        <v>121</v>
      </c>
      <c r="E26" s="44">
        <f>'3-Digit Lotto Table'!C126</f>
        <v>0</v>
      </c>
      <c r="F26" s="33">
        <v>221</v>
      </c>
      <c r="G26" s="44">
        <f>'3-Digit Lotto Table'!C226</f>
        <v>0</v>
      </c>
      <c r="H26" s="33">
        <v>321</v>
      </c>
      <c r="I26" s="44">
        <f>'3-Digit Lotto Table'!C326</f>
        <v>100</v>
      </c>
      <c r="J26" s="33">
        <v>421</v>
      </c>
      <c r="K26" s="46">
        <f>'3-Digit Lotto Table'!C426</f>
        <v>0</v>
      </c>
      <c r="L26" s="31">
        <v>521</v>
      </c>
      <c r="M26" s="46">
        <f>'3-Digit Lotto Table'!C526</f>
        <v>100</v>
      </c>
      <c r="N26" s="31">
        <v>621</v>
      </c>
      <c r="O26" s="46">
        <f>'3-Digit Lotto Table'!C626</f>
        <v>0</v>
      </c>
      <c r="P26" s="31">
        <v>721</v>
      </c>
      <c r="Q26" s="46">
        <f>'3-Digit Lotto Table'!C726</f>
        <v>0</v>
      </c>
      <c r="R26" s="31">
        <v>821</v>
      </c>
      <c r="S26" s="46">
        <f>'3-Digit Lotto Table'!C826</f>
        <v>0</v>
      </c>
      <c r="T26" s="36">
        <v>921</v>
      </c>
      <c r="U26" s="48">
        <f>'3-Digit Lotto Table'!C926</f>
        <v>0</v>
      </c>
    </row>
    <row r="27" spans="2:21" x14ac:dyDescent="0.3">
      <c r="B27" s="32">
        <v>22</v>
      </c>
      <c r="C27" s="44">
        <f>'3-Digit Lotto Table'!C27</f>
        <v>0</v>
      </c>
      <c r="D27" s="33">
        <v>122</v>
      </c>
      <c r="E27" s="44">
        <f>'3-Digit Lotto Table'!C127</f>
        <v>0</v>
      </c>
      <c r="F27" s="33">
        <v>222</v>
      </c>
      <c r="G27" s="44">
        <f>'3-Digit Lotto Table'!C227</f>
        <v>0</v>
      </c>
      <c r="H27" s="33">
        <v>322</v>
      </c>
      <c r="I27" s="44">
        <f>'3-Digit Lotto Table'!C327</f>
        <v>0</v>
      </c>
      <c r="J27" s="33">
        <v>422</v>
      </c>
      <c r="K27" s="46">
        <f>'3-Digit Lotto Table'!C427</f>
        <v>0</v>
      </c>
      <c r="L27" s="31">
        <v>522</v>
      </c>
      <c r="M27" s="46">
        <f>'3-Digit Lotto Table'!C527</f>
        <v>0</v>
      </c>
      <c r="N27" s="31">
        <v>622</v>
      </c>
      <c r="O27" s="46">
        <f>'3-Digit Lotto Table'!C627</f>
        <v>0</v>
      </c>
      <c r="P27" s="31">
        <v>722</v>
      </c>
      <c r="Q27" s="46">
        <f>'3-Digit Lotto Table'!C727</f>
        <v>0</v>
      </c>
      <c r="R27" s="31">
        <v>822</v>
      </c>
      <c r="S27" s="46">
        <f>'3-Digit Lotto Table'!C827</f>
        <v>0</v>
      </c>
      <c r="T27" s="36">
        <v>922</v>
      </c>
      <c r="U27" s="48">
        <f>'3-Digit Lotto Table'!C927</f>
        <v>0</v>
      </c>
    </row>
    <row r="28" spans="2:21" x14ac:dyDescent="0.3">
      <c r="B28" s="32">
        <v>23</v>
      </c>
      <c r="C28" s="44">
        <f>'3-Digit Lotto Table'!C28</f>
        <v>0</v>
      </c>
      <c r="D28" s="33">
        <v>123</v>
      </c>
      <c r="E28" s="44">
        <f>'3-Digit Lotto Table'!C128</f>
        <v>0</v>
      </c>
      <c r="F28" s="33">
        <v>223</v>
      </c>
      <c r="G28" s="44">
        <f>'3-Digit Lotto Table'!C228</f>
        <v>0</v>
      </c>
      <c r="H28" s="33">
        <v>323</v>
      </c>
      <c r="I28" s="44">
        <f>'3-Digit Lotto Table'!C328</f>
        <v>0</v>
      </c>
      <c r="J28" s="33">
        <v>423</v>
      </c>
      <c r="K28" s="46">
        <f>'3-Digit Lotto Table'!C428</f>
        <v>50</v>
      </c>
      <c r="L28" s="31">
        <v>523</v>
      </c>
      <c r="M28" s="46">
        <f>'3-Digit Lotto Table'!C528</f>
        <v>0</v>
      </c>
      <c r="N28" s="31">
        <v>623</v>
      </c>
      <c r="O28" s="46">
        <f>'3-Digit Lotto Table'!C628</f>
        <v>0</v>
      </c>
      <c r="P28" s="31">
        <v>723</v>
      </c>
      <c r="Q28" s="46">
        <f>'3-Digit Lotto Table'!C728</f>
        <v>60</v>
      </c>
      <c r="R28" s="31">
        <v>823</v>
      </c>
      <c r="S28" s="46">
        <f>'3-Digit Lotto Table'!C828</f>
        <v>0</v>
      </c>
      <c r="T28" s="36">
        <v>923</v>
      </c>
      <c r="U28" s="48">
        <f>'3-Digit Lotto Table'!C928</f>
        <v>0</v>
      </c>
    </row>
    <row r="29" spans="2:21" x14ac:dyDescent="0.3">
      <c r="B29" s="32">
        <v>24</v>
      </c>
      <c r="C29" s="44">
        <f>'3-Digit Lotto Table'!C29</f>
        <v>0</v>
      </c>
      <c r="D29" s="33">
        <v>124</v>
      </c>
      <c r="E29" s="44">
        <f>'3-Digit Lotto Table'!C129</f>
        <v>0</v>
      </c>
      <c r="F29" s="33">
        <v>224</v>
      </c>
      <c r="G29" s="44">
        <f>'3-Digit Lotto Table'!C229</f>
        <v>0</v>
      </c>
      <c r="H29" s="33">
        <v>324</v>
      </c>
      <c r="I29" s="44">
        <f>'3-Digit Lotto Table'!C329</f>
        <v>0</v>
      </c>
      <c r="J29" s="33">
        <v>424</v>
      </c>
      <c r="K29" s="46">
        <f>'3-Digit Lotto Table'!C429</f>
        <v>0</v>
      </c>
      <c r="L29" s="31">
        <v>524</v>
      </c>
      <c r="M29" s="46">
        <f>'3-Digit Lotto Table'!C529</f>
        <v>0</v>
      </c>
      <c r="N29" s="31">
        <v>624</v>
      </c>
      <c r="O29" s="46">
        <f>'3-Digit Lotto Table'!C629</f>
        <v>0</v>
      </c>
      <c r="P29" s="31">
        <v>724</v>
      </c>
      <c r="Q29" s="46">
        <f>'3-Digit Lotto Table'!C729</f>
        <v>100</v>
      </c>
      <c r="R29" s="31">
        <v>824</v>
      </c>
      <c r="S29" s="46">
        <f>'3-Digit Lotto Table'!C829</f>
        <v>100</v>
      </c>
      <c r="T29" s="36">
        <v>924</v>
      </c>
      <c r="U29" s="48">
        <f>'3-Digit Lotto Table'!C929</f>
        <v>0</v>
      </c>
    </row>
    <row r="30" spans="2:21" x14ac:dyDescent="0.3">
      <c r="B30" s="32">
        <v>25</v>
      </c>
      <c r="C30" s="44">
        <f>'3-Digit Lotto Table'!C30</f>
        <v>0</v>
      </c>
      <c r="D30" s="33">
        <v>125</v>
      </c>
      <c r="E30" s="44">
        <f>'3-Digit Lotto Table'!C130</f>
        <v>0</v>
      </c>
      <c r="F30" s="33">
        <v>225</v>
      </c>
      <c r="G30" s="44">
        <f>'3-Digit Lotto Table'!C230</f>
        <v>0</v>
      </c>
      <c r="H30" s="33">
        <v>325</v>
      </c>
      <c r="I30" s="44">
        <f>'3-Digit Lotto Table'!C330</f>
        <v>0</v>
      </c>
      <c r="J30" s="33">
        <v>425</v>
      </c>
      <c r="K30" s="46">
        <f>'3-Digit Lotto Table'!C430</f>
        <v>100</v>
      </c>
      <c r="L30" s="31">
        <v>525</v>
      </c>
      <c r="M30" s="46">
        <f>'3-Digit Lotto Table'!C530</f>
        <v>0</v>
      </c>
      <c r="N30" s="31">
        <v>625</v>
      </c>
      <c r="O30" s="46">
        <f>'3-Digit Lotto Table'!C630</f>
        <v>50</v>
      </c>
      <c r="P30" s="31">
        <v>725</v>
      </c>
      <c r="Q30" s="46">
        <f>'3-Digit Lotto Table'!C730</f>
        <v>50</v>
      </c>
      <c r="R30" s="31">
        <v>825</v>
      </c>
      <c r="S30" s="46">
        <f>'3-Digit Lotto Table'!C830</f>
        <v>0</v>
      </c>
      <c r="T30" s="36">
        <v>925</v>
      </c>
      <c r="U30" s="48">
        <f>'3-Digit Lotto Table'!C930</f>
        <v>0</v>
      </c>
    </row>
    <row r="31" spans="2:21" x14ac:dyDescent="0.3">
      <c r="B31" s="32">
        <v>26</v>
      </c>
      <c r="C31" s="44">
        <f>'3-Digit Lotto Table'!C31</f>
        <v>0</v>
      </c>
      <c r="D31" s="33">
        <v>126</v>
      </c>
      <c r="E31" s="44">
        <f>'3-Digit Lotto Table'!C131</f>
        <v>0</v>
      </c>
      <c r="F31" s="33">
        <v>226</v>
      </c>
      <c r="G31" s="44">
        <f>'3-Digit Lotto Table'!C231</f>
        <v>0</v>
      </c>
      <c r="H31" s="33">
        <v>326</v>
      </c>
      <c r="I31" s="44">
        <f>'3-Digit Lotto Table'!C331</f>
        <v>0</v>
      </c>
      <c r="J31" s="33">
        <v>426</v>
      </c>
      <c r="K31" s="46">
        <f>'3-Digit Lotto Table'!C431</f>
        <v>0</v>
      </c>
      <c r="L31" s="31">
        <v>526</v>
      </c>
      <c r="M31" s="46">
        <f>'3-Digit Lotto Table'!C531</f>
        <v>50</v>
      </c>
      <c r="N31" s="31">
        <v>626</v>
      </c>
      <c r="O31" s="46">
        <f>'3-Digit Lotto Table'!C631</f>
        <v>0</v>
      </c>
      <c r="P31" s="31">
        <v>726</v>
      </c>
      <c r="Q31" s="46">
        <f>'3-Digit Lotto Table'!C731</f>
        <v>0</v>
      </c>
      <c r="R31" s="31">
        <v>826</v>
      </c>
      <c r="S31" s="46">
        <f>'3-Digit Lotto Table'!C831</f>
        <v>0</v>
      </c>
      <c r="T31" s="36">
        <v>926</v>
      </c>
      <c r="U31" s="48">
        <f>'3-Digit Lotto Table'!C931</f>
        <v>0</v>
      </c>
    </row>
    <row r="32" spans="2:21" x14ac:dyDescent="0.3">
      <c r="B32" s="32">
        <v>27</v>
      </c>
      <c r="C32" s="44">
        <f>'3-Digit Lotto Table'!C32</f>
        <v>0</v>
      </c>
      <c r="D32" s="33">
        <v>127</v>
      </c>
      <c r="E32" s="44">
        <f>'3-Digit Lotto Table'!C132</f>
        <v>0</v>
      </c>
      <c r="F32" s="33">
        <v>227</v>
      </c>
      <c r="G32" s="44">
        <f>'3-Digit Lotto Table'!C232</f>
        <v>0</v>
      </c>
      <c r="H32" s="33">
        <v>327</v>
      </c>
      <c r="I32" s="44">
        <f>'3-Digit Lotto Table'!C332</f>
        <v>0</v>
      </c>
      <c r="J32" s="33">
        <v>427</v>
      </c>
      <c r="K32" s="46">
        <f>'3-Digit Lotto Table'!C432</f>
        <v>0</v>
      </c>
      <c r="L32" s="31">
        <v>527</v>
      </c>
      <c r="M32" s="46">
        <f>'3-Digit Lotto Table'!C532</f>
        <v>0</v>
      </c>
      <c r="N32" s="31">
        <v>627</v>
      </c>
      <c r="O32" s="46">
        <f>'3-Digit Lotto Table'!C632</f>
        <v>0</v>
      </c>
      <c r="P32" s="31">
        <v>727</v>
      </c>
      <c r="Q32" s="46">
        <f>'3-Digit Lotto Table'!C732</f>
        <v>0</v>
      </c>
      <c r="R32" s="31">
        <v>827</v>
      </c>
      <c r="S32" s="46">
        <f>'3-Digit Lotto Table'!C832</f>
        <v>0</v>
      </c>
      <c r="T32" s="36">
        <v>927</v>
      </c>
      <c r="U32" s="48">
        <f>'3-Digit Lotto Table'!C932</f>
        <v>0</v>
      </c>
    </row>
    <row r="33" spans="2:21" x14ac:dyDescent="0.3">
      <c r="B33" s="32">
        <v>28</v>
      </c>
      <c r="C33" s="44">
        <f>'3-Digit Lotto Table'!C33</f>
        <v>0</v>
      </c>
      <c r="D33" s="33">
        <v>128</v>
      </c>
      <c r="E33" s="44">
        <f>'3-Digit Lotto Table'!C133</f>
        <v>0</v>
      </c>
      <c r="F33" s="33">
        <v>228</v>
      </c>
      <c r="G33" s="44">
        <f>'3-Digit Lotto Table'!C233</f>
        <v>0</v>
      </c>
      <c r="H33" s="33">
        <v>328</v>
      </c>
      <c r="I33" s="44">
        <f>'3-Digit Lotto Table'!C333</f>
        <v>0</v>
      </c>
      <c r="J33" s="33">
        <v>428</v>
      </c>
      <c r="K33" s="46">
        <f>'3-Digit Lotto Table'!C433</f>
        <v>0</v>
      </c>
      <c r="L33" s="31">
        <v>528</v>
      </c>
      <c r="M33" s="46">
        <f>'3-Digit Lotto Table'!C533</f>
        <v>20</v>
      </c>
      <c r="N33" s="31">
        <v>628</v>
      </c>
      <c r="O33" s="46">
        <f>'3-Digit Lotto Table'!C633</f>
        <v>0</v>
      </c>
      <c r="P33" s="31">
        <v>728</v>
      </c>
      <c r="Q33" s="46">
        <f>'3-Digit Lotto Table'!C733</f>
        <v>0</v>
      </c>
      <c r="R33" s="31">
        <v>828</v>
      </c>
      <c r="S33" s="46">
        <f>'3-Digit Lotto Table'!C833</f>
        <v>0</v>
      </c>
      <c r="T33" s="36">
        <v>928</v>
      </c>
      <c r="U33" s="48">
        <f>'3-Digit Lotto Table'!C933</f>
        <v>0</v>
      </c>
    </row>
    <row r="34" spans="2:21" x14ac:dyDescent="0.3">
      <c r="B34" s="32">
        <v>29</v>
      </c>
      <c r="C34" s="44">
        <f>'3-Digit Lotto Table'!C34</f>
        <v>0</v>
      </c>
      <c r="D34" s="33">
        <v>129</v>
      </c>
      <c r="E34" s="44">
        <f>'3-Digit Lotto Table'!C134</f>
        <v>0</v>
      </c>
      <c r="F34" s="33">
        <v>229</v>
      </c>
      <c r="G34" s="44">
        <f>'3-Digit Lotto Table'!C234</f>
        <v>0</v>
      </c>
      <c r="H34" s="33">
        <v>329</v>
      </c>
      <c r="I34" s="44">
        <f>'3-Digit Lotto Table'!C334</f>
        <v>0</v>
      </c>
      <c r="J34" s="33">
        <v>429</v>
      </c>
      <c r="K34" s="46">
        <f>'3-Digit Lotto Table'!C434</f>
        <v>0</v>
      </c>
      <c r="L34" s="31">
        <v>529</v>
      </c>
      <c r="M34" s="46">
        <f>'3-Digit Lotto Table'!C534</f>
        <v>0</v>
      </c>
      <c r="N34" s="31">
        <v>629</v>
      </c>
      <c r="O34" s="46">
        <f>'3-Digit Lotto Table'!C634</f>
        <v>0</v>
      </c>
      <c r="P34" s="31">
        <v>729</v>
      </c>
      <c r="Q34" s="46">
        <f>'3-Digit Lotto Table'!C734</f>
        <v>0</v>
      </c>
      <c r="R34" s="31">
        <v>829</v>
      </c>
      <c r="S34" s="46">
        <f>'3-Digit Lotto Table'!C834</f>
        <v>0</v>
      </c>
      <c r="T34" s="36">
        <v>929</v>
      </c>
      <c r="U34" s="48">
        <f>'3-Digit Lotto Table'!C934</f>
        <v>0</v>
      </c>
    </row>
    <row r="35" spans="2:21" x14ac:dyDescent="0.3">
      <c r="B35" s="32">
        <v>30</v>
      </c>
      <c r="C35" s="44">
        <f>'3-Digit Lotto Table'!C35</f>
        <v>0</v>
      </c>
      <c r="D35" s="33">
        <v>130</v>
      </c>
      <c r="E35" s="44">
        <f>'3-Digit Lotto Table'!C135</f>
        <v>50</v>
      </c>
      <c r="F35" s="33">
        <v>230</v>
      </c>
      <c r="G35" s="44">
        <f>'3-Digit Lotto Table'!C235</f>
        <v>0</v>
      </c>
      <c r="H35" s="33">
        <v>330</v>
      </c>
      <c r="I35" s="44">
        <f>'3-Digit Lotto Table'!C335</f>
        <v>0</v>
      </c>
      <c r="J35" s="33">
        <v>430</v>
      </c>
      <c r="K35" s="46">
        <f>'3-Digit Lotto Table'!C435</f>
        <v>0</v>
      </c>
      <c r="L35" s="31">
        <v>530</v>
      </c>
      <c r="M35" s="46">
        <f>'3-Digit Lotto Table'!C535</f>
        <v>0</v>
      </c>
      <c r="N35" s="31">
        <v>630</v>
      </c>
      <c r="O35" s="46">
        <f>'3-Digit Lotto Table'!C635</f>
        <v>0</v>
      </c>
      <c r="P35" s="31">
        <v>730</v>
      </c>
      <c r="Q35" s="46">
        <f>'3-Digit Lotto Table'!C735</f>
        <v>0</v>
      </c>
      <c r="R35" s="31">
        <v>830</v>
      </c>
      <c r="S35" s="46">
        <f>'3-Digit Lotto Table'!C835</f>
        <v>0</v>
      </c>
      <c r="T35" s="36">
        <v>930</v>
      </c>
      <c r="U35" s="48">
        <f>'3-Digit Lotto Table'!C935</f>
        <v>0</v>
      </c>
    </row>
    <row r="36" spans="2:21" x14ac:dyDescent="0.3">
      <c r="B36" s="32">
        <v>31</v>
      </c>
      <c r="C36" s="44">
        <f>'3-Digit Lotto Table'!C36</f>
        <v>50</v>
      </c>
      <c r="D36" s="33">
        <v>131</v>
      </c>
      <c r="E36" s="44">
        <f>'3-Digit Lotto Table'!C136</f>
        <v>0</v>
      </c>
      <c r="F36" s="33">
        <v>231</v>
      </c>
      <c r="G36" s="44">
        <f>'3-Digit Lotto Table'!C236</f>
        <v>20</v>
      </c>
      <c r="H36" s="33">
        <v>331</v>
      </c>
      <c r="I36" s="44">
        <f>'3-Digit Lotto Table'!C336</f>
        <v>0</v>
      </c>
      <c r="J36" s="33">
        <v>431</v>
      </c>
      <c r="K36" s="46">
        <f>'3-Digit Lotto Table'!C436</f>
        <v>0</v>
      </c>
      <c r="L36" s="31">
        <v>531</v>
      </c>
      <c r="M36" s="46">
        <f>'3-Digit Lotto Table'!C536</f>
        <v>0</v>
      </c>
      <c r="N36" s="31">
        <v>631</v>
      </c>
      <c r="O36" s="46">
        <f>'3-Digit Lotto Table'!C636</f>
        <v>0</v>
      </c>
      <c r="P36" s="31">
        <v>731</v>
      </c>
      <c r="Q36" s="46">
        <f>'3-Digit Lotto Table'!C736</f>
        <v>30</v>
      </c>
      <c r="R36" s="31">
        <v>831</v>
      </c>
      <c r="S36" s="46">
        <f>'3-Digit Lotto Table'!C836</f>
        <v>0</v>
      </c>
      <c r="T36" s="36">
        <v>931</v>
      </c>
      <c r="U36" s="48">
        <f>'3-Digit Lotto Table'!C936</f>
        <v>0</v>
      </c>
    </row>
    <row r="37" spans="2:21" x14ac:dyDescent="0.3">
      <c r="B37" s="32">
        <v>32</v>
      </c>
      <c r="C37" s="44">
        <f>'3-Digit Lotto Table'!C37</f>
        <v>0</v>
      </c>
      <c r="D37" s="33">
        <v>132</v>
      </c>
      <c r="E37" s="44">
        <f>'3-Digit Lotto Table'!C137</f>
        <v>0</v>
      </c>
      <c r="F37" s="33">
        <v>232</v>
      </c>
      <c r="G37" s="44">
        <f>'3-Digit Lotto Table'!C237</f>
        <v>0</v>
      </c>
      <c r="H37" s="33">
        <v>332</v>
      </c>
      <c r="I37" s="44">
        <f>'3-Digit Lotto Table'!C337</f>
        <v>0</v>
      </c>
      <c r="J37" s="33">
        <v>432</v>
      </c>
      <c r="K37" s="46">
        <f>'3-Digit Lotto Table'!C437</f>
        <v>0</v>
      </c>
      <c r="L37" s="31">
        <v>532</v>
      </c>
      <c r="M37" s="46">
        <f>'3-Digit Lotto Table'!C537</f>
        <v>0</v>
      </c>
      <c r="N37" s="31">
        <v>632</v>
      </c>
      <c r="O37" s="46">
        <f>'3-Digit Lotto Table'!C637</f>
        <v>0</v>
      </c>
      <c r="P37" s="31">
        <v>732</v>
      </c>
      <c r="Q37" s="46">
        <f>'3-Digit Lotto Table'!C737</f>
        <v>0</v>
      </c>
      <c r="R37" s="31">
        <v>832</v>
      </c>
      <c r="S37" s="46">
        <f>'3-Digit Lotto Table'!C837</f>
        <v>0</v>
      </c>
      <c r="T37" s="36">
        <v>932</v>
      </c>
      <c r="U37" s="48">
        <f>'3-Digit Lotto Table'!C937</f>
        <v>0</v>
      </c>
    </row>
    <row r="38" spans="2:21" x14ac:dyDescent="0.3">
      <c r="B38" s="32">
        <v>33</v>
      </c>
      <c r="C38" s="44">
        <f>'3-Digit Lotto Table'!C38</f>
        <v>0</v>
      </c>
      <c r="D38" s="33">
        <v>133</v>
      </c>
      <c r="E38" s="44">
        <f>'3-Digit Lotto Table'!C138</f>
        <v>0</v>
      </c>
      <c r="F38" s="33">
        <v>233</v>
      </c>
      <c r="G38" s="44">
        <f>'3-Digit Lotto Table'!C238</f>
        <v>0</v>
      </c>
      <c r="H38" s="33">
        <v>333</v>
      </c>
      <c r="I38" s="44">
        <f>'3-Digit Lotto Table'!C338</f>
        <v>0</v>
      </c>
      <c r="J38" s="33">
        <v>433</v>
      </c>
      <c r="K38" s="46">
        <f>'3-Digit Lotto Table'!C438</f>
        <v>0</v>
      </c>
      <c r="L38" s="31">
        <v>533</v>
      </c>
      <c r="M38" s="46">
        <f>'3-Digit Lotto Table'!C538</f>
        <v>0</v>
      </c>
      <c r="N38" s="31">
        <v>633</v>
      </c>
      <c r="O38" s="46">
        <f>'3-Digit Lotto Table'!C638</f>
        <v>0</v>
      </c>
      <c r="P38" s="31">
        <v>733</v>
      </c>
      <c r="Q38" s="46">
        <f>'3-Digit Lotto Table'!C738</f>
        <v>0</v>
      </c>
      <c r="R38" s="31">
        <v>833</v>
      </c>
      <c r="S38" s="46">
        <f>'3-Digit Lotto Table'!C838</f>
        <v>0</v>
      </c>
      <c r="T38" s="36">
        <v>933</v>
      </c>
      <c r="U38" s="48">
        <f>'3-Digit Lotto Table'!C938</f>
        <v>0</v>
      </c>
    </row>
    <row r="39" spans="2:21" x14ac:dyDescent="0.3">
      <c r="B39" s="32">
        <v>34</v>
      </c>
      <c r="C39" s="44">
        <f>'3-Digit Lotto Table'!C39</f>
        <v>0</v>
      </c>
      <c r="D39" s="33">
        <v>134</v>
      </c>
      <c r="E39" s="44">
        <f>'3-Digit Lotto Table'!C139</f>
        <v>0</v>
      </c>
      <c r="F39" s="33">
        <v>234</v>
      </c>
      <c r="G39" s="44">
        <f>'3-Digit Lotto Table'!C239</f>
        <v>0</v>
      </c>
      <c r="H39" s="33">
        <v>334</v>
      </c>
      <c r="I39" s="44">
        <f>'3-Digit Lotto Table'!C339</f>
        <v>0</v>
      </c>
      <c r="J39" s="33">
        <v>434</v>
      </c>
      <c r="K39" s="46">
        <f>'3-Digit Lotto Table'!C439</f>
        <v>0</v>
      </c>
      <c r="L39" s="31">
        <v>534</v>
      </c>
      <c r="M39" s="46">
        <f>'3-Digit Lotto Table'!C539</f>
        <v>0</v>
      </c>
      <c r="N39" s="31">
        <v>634</v>
      </c>
      <c r="O39" s="46">
        <f>'3-Digit Lotto Table'!C639</f>
        <v>0</v>
      </c>
      <c r="P39" s="31">
        <v>734</v>
      </c>
      <c r="Q39" s="46">
        <f>'3-Digit Lotto Table'!C739</f>
        <v>50</v>
      </c>
      <c r="R39" s="31">
        <v>834</v>
      </c>
      <c r="S39" s="46">
        <f>'3-Digit Lotto Table'!C839</f>
        <v>0</v>
      </c>
      <c r="T39" s="36">
        <v>934</v>
      </c>
      <c r="U39" s="48">
        <f>'3-Digit Lotto Table'!C939</f>
        <v>0</v>
      </c>
    </row>
    <row r="40" spans="2:21" x14ac:dyDescent="0.3">
      <c r="B40" s="32">
        <v>35</v>
      </c>
      <c r="C40" s="44">
        <f>'3-Digit Lotto Table'!C40</f>
        <v>50</v>
      </c>
      <c r="D40" s="33">
        <v>135</v>
      </c>
      <c r="E40" s="44">
        <f>'3-Digit Lotto Table'!C140</f>
        <v>0</v>
      </c>
      <c r="F40" s="33">
        <v>235</v>
      </c>
      <c r="G40" s="44">
        <f>'3-Digit Lotto Table'!C240</f>
        <v>0</v>
      </c>
      <c r="H40" s="33">
        <v>335</v>
      </c>
      <c r="I40" s="44">
        <f>'3-Digit Lotto Table'!C340</f>
        <v>0</v>
      </c>
      <c r="J40" s="33">
        <v>435</v>
      </c>
      <c r="K40" s="46">
        <f>'3-Digit Lotto Table'!C440</f>
        <v>0</v>
      </c>
      <c r="L40" s="31">
        <v>535</v>
      </c>
      <c r="M40" s="46">
        <f>'3-Digit Lotto Table'!C540</f>
        <v>0</v>
      </c>
      <c r="N40" s="31">
        <v>635</v>
      </c>
      <c r="O40" s="46">
        <f>'3-Digit Lotto Table'!C640</f>
        <v>0</v>
      </c>
      <c r="P40" s="31">
        <v>735</v>
      </c>
      <c r="Q40" s="46">
        <f>'3-Digit Lotto Table'!C740</f>
        <v>0</v>
      </c>
      <c r="R40" s="31">
        <v>835</v>
      </c>
      <c r="S40" s="46">
        <f>'3-Digit Lotto Table'!C840</f>
        <v>0</v>
      </c>
      <c r="T40" s="36">
        <v>935</v>
      </c>
      <c r="U40" s="48">
        <f>'3-Digit Lotto Table'!C940</f>
        <v>100</v>
      </c>
    </row>
    <row r="41" spans="2:21" x14ac:dyDescent="0.3">
      <c r="B41" s="32">
        <v>36</v>
      </c>
      <c r="C41" s="44">
        <f>'3-Digit Lotto Table'!C41</f>
        <v>0</v>
      </c>
      <c r="D41" s="33">
        <v>136</v>
      </c>
      <c r="E41" s="44">
        <f>'3-Digit Lotto Table'!C141</f>
        <v>0</v>
      </c>
      <c r="F41" s="33">
        <v>236</v>
      </c>
      <c r="G41" s="44">
        <f>'3-Digit Lotto Table'!C241</f>
        <v>0</v>
      </c>
      <c r="H41" s="33">
        <v>336</v>
      </c>
      <c r="I41" s="44">
        <f>'3-Digit Lotto Table'!C341</f>
        <v>0</v>
      </c>
      <c r="J41" s="33">
        <v>436</v>
      </c>
      <c r="K41" s="46">
        <f>'3-Digit Lotto Table'!C441</f>
        <v>0</v>
      </c>
      <c r="L41" s="31">
        <v>536</v>
      </c>
      <c r="M41" s="46">
        <f>'3-Digit Lotto Table'!C541</f>
        <v>0</v>
      </c>
      <c r="N41" s="31">
        <v>636</v>
      </c>
      <c r="O41" s="46">
        <f>'3-Digit Lotto Table'!C641</f>
        <v>0</v>
      </c>
      <c r="P41" s="31">
        <v>736</v>
      </c>
      <c r="Q41" s="46">
        <f>'3-Digit Lotto Table'!C741</f>
        <v>50</v>
      </c>
      <c r="R41" s="31">
        <v>836</v>
      </c>
      <c r="S41" s="46">
        <f>'3-Digit Lotto Table'!C841</f>
        <v>0</v>
      </c>
      <c r="T41" s="36">
        <v>936</v>
      </c>
      <c r="U41" s="48">
        <f>'3-Digit Lotto Table'!C941</f>
        <v>0</v>
      </c>
    </row>
    <row r="42" spans="2:21" x14ac:dyDescent="0.3">
      <c r="B42" s="32">
        <v>37</v>
      </c>
      <c r="C42" s="44">
        <f>'3-Digit Lotto Table'!C42</f>
        <v>0</v>
      </c>
      <c r="D42" s="33">
        <v>137</v>
      </c>
      <c r="E42" s="44">
        <f>'3-Digit Lotto Table'!C142</f>
        <v>0</v>
      </c>
      <c r="F42" s="33">
        <v>237</v>
      </c>
      <c r="G42" s="44">
        <f>'3-Digit Lotto Table'!C242</f>
        <v>0</v>
      </c>
      <c r="H42" s="33">
        <v>337</v>
      </c>
      <c r="I42" s="44">
        <f>'3-Digit Lotto Table'!C342</f>
        <v>0</v>
      </c>
      <c r="J42" s="33">
        <v>437</v>
      </c>
      <c r="K42" s="46">
        <f>'3-Digit Lotto Table'!C442</f>
        <v>0</v>
      </c>
      <c r="L42" s="31">
        <v>537</v>
      </c>
      <c r="M42" s="46">
        <f>'3-Digit Lotto Table'!C542</f>
        <v>0</v>
      </c>
      <c r="N42" s="31">
        <v>637</v>
      </c>
      <c r="O42" s="46">
        <f>'3-Digit Lotto Table'!C642</f>
        <v>50</v>
      </c>
      <c r="P42" s="31">
        <v>737</v>
      </c>
      <c r="Q42" s="46">
        <f>'3-Digit Lotto Table'!C742</f>
        <v>0</v>
      </c>
      <c r="R42" s="31">
        <v>837</v>
      </c>
      <c r="S42" s="46">
        <f>'3-Digit Lotto Table'!C842</f>
        <v>50</v>
      </c>
      <c r="T42" s="36">
        <v>937</v>
      </c>
      <c r="U42" s="48">
        <f>'3-Digit Lotto Table'!C942</f>
        <v>100</v>
      </c>
    </row>
    <row r="43" spans="2:21" x14ac:dyDescent="0.3">
      <c r="B43" s="32">
        <v>38</v>
      </c>
      <c r="C43" s="44">
        <f>'3-Digit Lotto Table'!C43</f>
        <v>0</v>
      </c>
      <c r="D43" s="33">
        <v>138</v>
      </c>
      <c r="E43" s="44">
        <f>'3-Digit Lotto Table'!C143</f>
        <v>0</v>
      </c>
      <c r="F43" s="33">
        <v>238</v>
      </c>
      <c r="G43" s="44">
        <f>'3-Digit Lotto Table'!C243</f>
        <v>0</v>
      </c>
      <c r="H43" s="33">
        <v>338</v>
      </c>
      <c r="I43" s="44">
        <f>'3-Digit Lotto Table'!C343</f>
        <v>0</v>
      </c>
      <c r="J43" s="33">
        <v>438</v>
      </c>
      <c r="K43" s="46">
        <f>'3-Digit Lotto Table'!C443</f>
        <v>0</v>
      </c>
      <c r="L43" s="31">
        <v>538</v>
      </c>
      <c r="M43" s="46">
        <f>'3-Digit Lotto Table'!C543</f>
        <v>100</v>
      </c>
      <c r="N43" s="31">
        <v>638</v>
      </c>
      <c r="O43" s="46">
        <f>'3-Digit Lotto Table'!C643</f>
        <v>100</v>
      </c>
      <c r="P43" s="31">
        <v>738</v>
      </c>
      <c r="Q43" s="46">
        <f>'3-Digit Lotto Table'!C743</f>
        <v>50</v>
      </c>
      <c r="R43" s="31">
        <v>838</v>
      </c>
      <c r="S43" s="46">
        <f>'3-Digit Lotto Table'!C843</f>
        <v>0</v>
      </c>
      <c r="T43" s="36">
        <v>938</v>
      </c>
      <c r="U43" s="48">
        <f>'3-Digit Lotto Table'!C943</f>
        <v>60</v>
      </c>
    </row>
    <row r="44" spans="2:21" x14ac:dyDescent="0.3">
      <c r="B44" s="32">
        <v>39</v>
      </c>
      <c r="C44" s="44">
        <f>'3-Digit Lotto Table'!C44</f>
        <v>0</v>
      </c>
      <c r="D44" s="33">
        <v>139</v>
      </c>
      <c r="E44" s="44">
        <f>'3-Digit Lotto Table'!C144</f>
        <v>0</v>
      </c>
      <c r="F44" s="33">
        <v>239</v>
      </c>
      <c r="G44" s="44">
        <f>'3-Digit Lotto Table'!C244</f>
        <v>100</v>
      </c>
      <c r="H44" s="33">
        <v>339</v>
      </c>
      <c r="I44" s="44">
        <f>'3-Digit Lotto Table'!C344</f>
        <v>0</v>
      </c>
      <c r="J44" s="33">
        <v>439</v>
      </c>
      <c r="K44" s="46">
        <f>'3-Digit Lotto Table'!C444</f>
        <v>0</v>
      </c>
      <c r="L44" s="31">
        <v>539</v>
      </c>
      <c r="M44" s="46">
        <f>'3-Digit Lotto Table'!C544</f>
        <v>0</v>
      </c>
      <c r="N44" s="31">
        <v>639</v>
      </c>
      <c r="O44" s="46">
        <f>'3-Digit Lotto Table'!C644</f>
        <v>0</v>
      </c>
      <c r="P44" s="31">
        <v>739</v>
      </c>
      <c r="Q44" s="46">
        <f>'3-Digit Lotto Table'!C744</f>
        <v>100</v>
      </c>
      <c r="R44" s="31">
        <v>839</v>
      </c>
      <c r="S44" s="46">
        <f>'3-Digit Lotto Table'!C844</f>
        <v>0</v>
      </c>
      <c r="T44" s="36">
        <v>939</v>
      </c>
      <c r="U44" s="48">
        <f>'3-Digit Lotto Table'!C944</f>
        <v>0</v>
      </c>
    </row>
    <row r="45" spans="2:21" x14ac:dyDescent="0.3">
      <c r="B45" s="32">
        <v>40</v>
      </c>
      <c r="C45" s="44">
        <f>'3-Digit Lotto Table'!C45</f>
        <v>0</v>
      </c>
      <c r="D45" s="33">
        <v>140</v>
      </c>
      <c r="E45" s="44">
        <f>'3-Digit Lotto Table'!C145</f>
        <v>0</v>
      </c>
      <c r="F45" s="33">
        <v>240</v>
      </c>
      <c r="G45" s="44">
        <f>'3-Digit Lotto Table'!C245</f>
        <v>0</v>
      </c>
      <c r="H45" s="33">
        <v>340</v>
      </c>
      <c r="I45" s="44">
        <f>'3-Digit Lotto Table'!C345</f>
        <v>0</v>
      </c>
      <c r="J45" s="33">
        <v>440</v>
      </c>
      <c r="K45" s="46">
        <f>'3-Digit Lotto Table'!C445</f>
        <v>0</v>
      </c>
      <c r="L45" s="31">
        <v>540</v>
      </c>
      <c r="M45" s="46">
        <f>'3-Digit Lotto Table'!C545</f>
        <v>0</v>
      </c>
      <c r="N45" s="31">
        <v>640</v>
      </c>
      <c r="O45" s="46">
        <f>'3-Digit Lotto Table'!C645</f>
        <v>0</v>
      </c>
      <c r="P45" s="31">
        <v>740</v>
      </c>
      <c r="Q45" s="46">
        <f>'3-Digit Lotto Table'!C745</f>
        <v>0</v>
      </c>
      <c r="R45" s="31">
        <v>840</v>
      </c>
      <c r="S45" s="46">
        <f>'3-Digit Lotto Table'!C845</f>
        <v>0</v>
      </c>
      <c r="T45" s="36">
        <v>940</v>
      </c>
      <c r="U45" s="48">
        <f>'3-Digit Lotto Table'!C945</f>
        <v>0</v>
      </c>
    </row>
    <row r="46" spans="2:21" x14ac:dyDescent="0.3">
      <c r="B46" s="32">
        <v>41</v>
      </c>
      <c r="C46" s="44">
        <f>'3-Digit Lotto Table'!C46</f>
        <v>0</v>
      </c>
      <c r="D46" s="33">
        <v>141</v>
      </c>
      <c r="E46" s="44">
        <f>'3-Digit Lotto Table'!C146</f>
        <v>0</v>
      </c>
      <c r="F46" s="33">
        <v>241</v>
      </c>
      <c r="G46" s="44">
        <f>'3-Digit Lotto Table'!C246</f>
        <v>0</v>
      </c>
      <c r="H46" s="33">
        <v>341</v>
      </c>
      <c r="I46" s="44">
        <f>'3-Digit Lotto Table'!C346</f>
        <v>0</v>
      </c>
      <c r="J46" s="33">
        <v>441</v>
      </c>
      <c r="K46" s="46">
        <f>'3-Digit Lotto Table'!C446</f>
        <v>0</v>
      </c>
      <c r="L46" s="31">
        <v>541</v>
      </c>
      <c r="M46" s="46">
        <f>'3-Digit Lotto Table'!C546</f>
        <v>0</v>
      </c>
      <c r="N46" s="31">
        <v>641</v>
      </c>
      <c r="O46" s="46">
        <f>'3-Digit Lotto Table'!C646</f>
        <v>0</v>
      </c>
      <c r="P46" s="31">
        <v>741</v>
      </c>
      <c r="Q46" s="46">
        <f>'3-Digit Lotto Table'!C746</f>
        <v>0</v>
      </c>
      <c r="R46" s="31">
        <v>841</v>
      </c>
      <c r="S46" s="46">
        <f>'3-Digit Lotto Table'!C846</f>
        <v>0</v>
      </c>
      <c r="T46" s="36">
        <v>941</v>
      </c>
      <c r="U46" s="48">
        <f>'3-Digit Lotto Table'!C946</f>
        <v>0</v>
      </c>
    </row>
    <row r="47" spans="2:21" x14ac:dyDescent="0.3">
      <c r="B47" s="32">
        <v>42</v>
      </c>
      <c r="C47" s="44">
        <f>'3-Digit Lotto Table'!C47</f>
        <v>0</v>
      </c>
      <c r="D47" s="33">
        <v>142</v>
      </c>
      <c r="E47" s="44">
        <f>'3-Digit Lotto Table'!C147</f>
        <v>0</v>
      </c>
      <c r="F47" s="33">
        <v>242</v>
      </c>
      <c r="G47" s="44">
        <f>'3-Digit Lotto Table'!C247</f>
        <v>0</v>
      </c>
      <c r="H47" s="33">
        <v>342</v>
      </c>
      <c r="I47" s="44">
        <f>'3-Digit Lotto Table'!C347</f>
        <v>0</v>
      </c>
      <c r="J47" s="33">
        <v>442</v>
      </c>
      <c r="K47" s="46">
        <f>'3-Digit Lotto Table'!C447</f>
        <v>0</v>
      </c>
      <c r="L47" s="31">
        <v>542</v>
      </c>
      <c r="M47" s="46">
        <f>'3-Digit Lotto Table'!C547</f>
        <v>0</v>
      </c>
      <c r="N47" s="31">
        <v>642</v>
      </c>
      <c r="O47" s="46">
        <f>'3-Digit Lotto Table'!C647</f>
        <v>0</v>
      </c>
      <c r="P47" s="31">
        <v>742</v>
      </c>
      <c r="Q47" s="46">
        <f>'3-Digit Lotto Table'!C747</f>
        <v>0</v>
      </c>
      <c r="R47" s="31">
        <v>842</v>
      </c>
      <c r="S47" s="46">
        <f>'3-Digit Lotto Table'!C847</f>
        <v>0</v>
      </c>
      <c r="T47" s="36">
        <v>942</v>
      </c>
      <c r="U47" s="48">
        <f>'3-Digit Lotto Table'!C947</f>
        <v>0</v>
      </c>
    </row>
    <row r="48" spans="2:21" x14ac:dyDescent="0.3">
      <c r="B48" s="32">
        <v>43</v>
      </c>
      <c r="C48" s="44">
        <f>'3-Digit Lotto Table'!C48</f>
        <v>0</v>
      </c>
      <c r="D48" s="33">
        <v>143</v>
      </c>
      <c r="E48" s="44">
        <f>'3-Digit Lotto Table'!C148</f>
        <v>0</v>
      </c>
      <c r="F48" s="33">
        <v>243</v>
      </c>
      <c r="G48" s="44">
        <f>'3-Digit Lotto Table'!C248</f>
        <v>0</v>
      </c>
      <c r="H48" s="33">
        <v>343</v>
      </c>
      <c r="I48" s="44">
        <f>'3-Digit Lotto Table'!C348</f>
        <v>300</v>
      </c>
      <c r="J48" s="33">
        <v>443</v>
      </c>
      <c r="K48" s="46">
        <f>'3-Digit Lotto Table'!C448</f>
        <v>0</v>
      </c>
      <c r="L48" s="31">
        <v>543</v>
      </c>
      <c r="M48" s="46">
        <f>'3-Digit Lotto Table'!C548</f>
        <v>300</v>
      </c>
      <c r="N48" s="31">
        <v>643</v>
      </c>
      <c r="O48" s="46">
        <f>'3-Digit Lotto Table'!C648</f>
        <v>0</v>
      </c>
      <c r="P48" s="31">
        <v>743</v>
      </c>
      <c r="Q48" s="46">
        <f>'3-Digit Lotto Table'!C748</f>
        <v>0</v>
      </c>
      <c r="R48" s="31">
        <v>843</v>
      </c>
      <c r="S48" s="46">
        <f>'3-Digit Lotto Table'!C848</f>
        <v>0</v>
      </c>
      <c r="T48" s="36">
        <v>943</v>
      </c>
      <c r="U48" s="48">
        <f>'3-Digit Lotto Table'!C948</f>
        <v>0</v>
      </c>
    </row>
    <row r="49" spans="2:21" x14ac:dyDescent="0.3">
      <c r="B49" s="32">
        <v>44</v>
      </c>
      <c r="C49" s="44">
        <f>'3-Digit Lotto Table'!C49</f>
        <v>0</v>
      </c>
      <c r="D49" s="33">
        <v>144</v>
      </c>
      <c r="E49" s="44">
        <f>'3-Digit Lotto Table'!C149</f>
        <v>0</v>
      </c>
      <c r="F49" s="33">
        <v>244</v>
      </c>
      <c r="G49" s="44">
        <f>'3-Digit Lotto Table'!C249</f>
        <v>0</v>
      </c>
      <c r="H49" s="33">
        <v>344</v>
      </c>
      <c r="I49" s="44">
        <f>'3-Digit Lotto Table'!C349</f>
        <v>0</v>
      </c>
      <c r="J49" s="33">
        <v>444</v>
      </c>
      <c r="K49" s="46">
        <f>'3-Digit Lotto Table'!C449</f>
        <v>0</v>
      </c>
      <c r="L49" s="31">
        <v>544</v>
      </c>
      <c r="M49" s="46">
        <f>'3-Digit Lotto Table'!C549</f>
        <v>0</v>
      </c>
      <c r="N49" s="31">
        <v>644</v>
      </c>
      <c r="O49" s="46">
        <f>'3-Digit Lotto Table'!C649</f>
        <v>0</v>
      </c>
      <c r="P49" s="31">
        <v>744</v>
      </c>
      <c r="Q49" s="46">
        <f>'3-Digit Lotto Table'!C749</f>
        <v>0</v>
      </c>
      <c r="R49" s="31">
        <v>844</v>
      </c>
      <c r="S49" s="46">
        <f>'3-Digit Lotto Table'!C849</f>
        <v>0</v>
      </c>
      <c r="T49" s="36">
        <v>944</v>
      </c>
      <c r="U49" s="48">
        <f>'3-Digit Lotto Table'!C949</f>
        <v>0</v>
      </c>
    </row>
    <row r="50" spans="2:21" x14ac:dyDescent="0.3">
      <c r="B50" s="32">
        <v>45</v>
      </c>
      <c r="C50" s="44">
        <f>'3-Digit Lotto Table'!C50</f>
        <v>100</v>
      </c>
      <c r="D50" s="33">
        <v>145</v>
      </c>
      <c r="E50" s="44">
        <f>'3-Digit Lotto Table'!C150</f>
        <v>0</v>
      </c>
      <c r="F50" s="33">
        <v>245</v>
      </c>
      <c r="G50" s="44">
        <f>'3-Digit Lotto Table'!C250</f>
        <v>100</v>
      </c>
      <c r="H50" s="33">
        <v>345</v>
      </c>
      <c r="I50" s="44">
        <f>'3-Digit Lotto Table'!C350</f>
        <v>0</v>
      </c>
      <c r="J50" s="33">
        <v>445</v>
      </c>
      <c r="K50" s="46">
        <f>'3-Digit Lotto Table'!C450</f>
        <v>0</v>
      </c>
      <c r="L50" s="31">
        <v>545</v>
      </c>
      <c r="M50" s="46">
        <f>'3-Digit Lotto Table'!C550</f>
        <v>0</v>
      </c>
      <c r="N50" s="31">
        <v>645</v>
      </c>
      <c r="O50" s="46">
        <f>'3-Digit Lotto Table'!C650</f>
        <v>0</v>
      </c>
      <c r="P50" s="31">
        <v>745</v>
      </c>
      <c r="Q50" s="46">
        <f>'3-Digit Lotto Table'!C750</f>
        <v>0</v>
      </c>
      <c r="R50" s="31">
        <v>845</v>
      </c>
      <c r="S50" s="46">
        <f>'3-Digit Lotto Table'!C850</f>
        <v>0</v>
      </c>
      <c r="T50" s="36">
        <v>945</v>
      </c>
      <c r="U50" s="48">
        <f>'3-Digit Lotto Table'!C950</f>
        <v>130</v>
      </c>
    </row>
    <row r="51" spans="2:21" x14ac:dyDescent="0.3">
      <c r="B51" s="32">
        <v>46</v>
      </c>
      <c r="C51" s="44">
        <f>'3-Digit Lotto Table'!C51</f>
        <v>0</v>
      </c>
      <c r="D51" s="33">
        <v>146</v>
      </c>
      <c r="E51" s="44">
        <f>'3-Digit Lotto Table'!C151</f>
        <v>0</v>
      </c>
      <c r="F51" s="33">
        <v>246</v>
      </c>
      <c r="G51" s="44">
        <f>'3-Digit Lotto Table'!C251</f>
        <v>0</v>
      </c>
      <c r="H51" s="33">
        <v>346</v>
      </c>
      <c r="I51" s="44">
        <f>'3-Digit Lotto Table'!C351</f>
        <v>0</v>
      </c>
      <c r="J51" s="33">
        <v>446</v>
      </c>
      <c r="K51" s="46">
        <f>'3-Digit Lotto Table'!C451</f>
        <v>0</v>
      </c>
      <c r="L51" s="31">
        <v>546</v>
      </c>
      <c r="M51" s="46">
        <f>'3-Digit Lotto Table'!C551</f>
        <v>50</v>
      </c>
      <c r="N51" s="31">
        <v>646</v>
      </c>
      <c r="O51" s="46">
        <f>'3-Digit Lotto Table'!C651</f>
        <v>0</v>
      </c>
      <c r="P51" s="31">
        <v>746</v>
      </c>
      <c r="Q51" s="46">
        <f>'3-Digit Lotto Table'!C751</f>
        <v>0</v>
      </c>
      <c r="R51" s="31">
        <v>846</v>
      </c>
      <c r="S51" s="46">
        <f>'3-Digit Lotto Table'!C851</f>
        <v>0</v>
      </c>
      <c r="T51" s="36">
        <v>946</v>
      </c>
      <c r="U51" s="48">
        <f>'3-Digit Lotto Table'!C951</f>
        <v>0</v>
      </c>
    </row>
    <row r="52" spans="2:21" x14ac:dyDescent="0.3">
      <c r="B52" s="32">
        <v>47</v>
      </c>
      <c r="C52" s="44">
        <f>'3-Digit Lotto Table'!C52</f>
        <v>0</v>
      </c>
      <c r="D52" s="33">
        <v>147</v>
      </c>
      <c r="E52" s="44">
        <f>'3-Digit Lotto Table'!C152</f>
        <v>50</v>
      </c>
      <c r="F52" s="33">
        <v>247</v>
      </c>
      <c r="G52" s="44">
        <f>'3-Digit Lotto Table'!C252</f>
        <v>0</v>
      </c>
      <c r="H52" s="33">
        <v>347</v>
      </c>
      <c r="I52" s="44">
        <f>'3-Digit Lotto Table'!C352</f>
        <v>0</v>
      </c>
      <c r="J52" s="33">
        <v>447</v>
      </c>
      <c r="K52" s="46">
        <f>'3-Digit Lotto Table'!C452</f>
        <v>0</v>
      </c>
      <c r="L52" s="31">
        <v>547</v>
      </c>
      <c r="M52" s="46">
        <f>'3-Digit Lotto Table'!C552</f>
        <v>0</v>
      </c>
      <c r="N52" s="31">
        <v>647</v>
      </c>
      <c r="O52" s="46">
        <f>'3-Digit Lotto Table'!C652</f>
        <v>0</v>
      </c>
      <c r="P52" s="31">
        <v>747</v>
      </c>
      <c r="Q52" s="46">
        <f>'3-Digit Lotto Table'!C752</f>
        <v>0</v>
      </c>
      <c r="R52" s="31">
        <v>847</v>
      </c>
      <c r="S52" s="46">
        <f>'3-Digit Lotto Table'!C852</f>
        <v>0</v>
      </c>
      <c r="T52" s="36">
        <v>947</v>
      </c>
      <c r="U52" s="48">
        <f>'3-Digit Lotto Table'!C952</f>
        <v>20</v>
      </c>
    </row>
    <row r="53" spans="2:21" x14ac:dyDescent="0.3">
      <c r="B53" s="32">
        <v>48</v>
      </c>
      <c r="C53" s="44">
        <f>'3-Digit Lotto Table'!C53</f>
        <v>0</v>
      </c>
      <c r="D53" s="33">
        <v>148</v>
      </c>
      <c r="E53" s="44">
        <f>'3-Digit Lotto Table'!C153</f>
        <v>0</v>
      </c>
      <c r="F53" s="33">
        <v>248</v>
      </c>
      <c r="G53" s="44">
        <f>'3-Digit Lotto Table'!C253</f>
        <v>0</v>
      </c>
      <c r="H53" s="33">
        <v>348</v>
      </c>
      <c r="I53" s="44">
        <f>'3-Digit Lotto Table'!C353</f>
        <v>0</v>
      </c>
      <c r="J53" s="33">
        <v>448</v>
      </c>
      <c r="K53" s="46">
        <f>'3-Digit Lotto Table'!C453</f>
        <v>0</v>
      </c>
      <c r="L53" s="31">
        <v>548</v>
      </c>
      <c r="M53" s="46">
        <f>'3-Digit Lotto Table'!C553</f>
        <v>0</v>
      </c>
      <c r="N53" s="31">
        <v>648</v>
      </c>
      <c r="O53" s="46">
        <f>'3-Digit Lotto Table'!C653</f>
        <v>20</v>
      </c>
      <c r="P53" s="31">
        <v>748</v>
      </c>
      <c r="Q53" s="46">
        <f>'3-Digit Lotto Table'!C753</f>
        <v>0</v>
      </c>
      <c r="R53" s="31">
        <v>848</v>
      </c>
      <c r="S53" s="46">
        <f>'3-Digit Lotto Table'!C853</f>
        <v>0</v>
      </c>
      <c r="T53" s="36">
        <v>948</v>
      </c>
      <c r="U53" s="48">
        <f>'3-Digit Lotto Table'!C953</f>
        <v>0</v>
      </c>
    </row>
    <row r="54" spans="2:21" x14ac:dyDescent="0.3">
      <c r="B54" s="32">
        <v>49</v>
      </c>
      <c r="C54" s="44">
        <f>'3-Digit Lotto Table'!C54</f>
        <v>0</v>
      </c>
      <c r="D54" s="33">
        <v>149</v>
      </c>
      <c r="E54" s="44">
        <f>'3-Digit Lotto Table'!C154</f>
        <v>0</v>
      </c>
      <c r="F54" s="33">
        <v>249</v>
      </c>
      <c r="G54" s="44">
        <f>'3-Digit Lotto Table'!C254</f>
        <v>0</v>
      </c>
      <c r="H54" s="33">
        <v>349</v>
      </c>
      <c r="I54" s="44">
        <f>'3-Digit Lotto Table'!C354</f>
        <v>0</v>
      </c>
      <c r="J54" s="33">
        <v>449</v>
      </c>
      <c r="K54" s="46">
        <f>'3-Digit Lotto Table'!C454</f>
        <v>0</v>
      </c>
      <c r="L54" s="31">
        <v>549</v>
      </c>
      <c r="M54" s="46">
        <f>'3-Digit Lotto Table'!C554</f>
        <v>0</v>
      </c>
      <c r="N54" s="31">
        <v>649</v>
      </c>
      <c r="O54" s="46">
        <f>'3-Digit Lotto Table'!C654</f>
        <v>0</v>
      </c>
      <c r="P54" s="31">
        <v>749</v>
      </c>
      <c r="Q54" s="46">
        <f>'3-Digit Lotto Table'!C754</f>
        <v>0</v>
      </c>
      <c r="R54" s="31">
        <v>849</v>
      </c>
      <c r="S54" s="46">
        <f>'3-Digit Lotto Table'!C854</f>
        <v>0</v>
      </c>
      <c r="T54" s="36">
        <v>949</v>
      </c>
      <c r="U54" s="48">
        <f>'3-Digit Lotto Table'!C954</f>
        <v>0</v>
      </c>
    </row>
    <row r="55" spans="2:21" x14ac:dyDescent="0.3">
      <c r="B55" s="32">
        <v>50</v>
      </c>
      <c r="C55" s="44">
        <f>'3-Digit Lotto Table'!C55</f>
        <v>0</v>
      </c>
      <c r="D55" s="33">
        <v>150</v>
      </c>
      <c r="E55" s="44">
        <f>'3-Digit Lotto Table'!C155</f>
        <v>0</v>
      </c>
      <c r="F55" s="33">
        <v>250</v>
      </c>
      <c r="G55" s="44">
        <f>'3-Digit Lotto Table'!C255</f>
        <v>0</v>
      </c>
      <c r="H55" s="33">
        <v>350</v>
      </c>
      <c r="I55" s="44">
        <f>'3-Digit Lotto Table'!C355</f>
        <v>0</v>
      </c>
      <c r="J55" s="33">
        <v>450</v>
      </c>
      <c r="K55" s="46">
        <f>'3-Digit Lotto Table'!C455</f>
        <v>50</v>
      </c>
      <c r="L55" s="31">
        <v>550</v>
      </c>
      <c r="M55" s="46">
        <f>'3-Digit Lotto Table'!C555</f>
        <v>0</v>
      </c>
      <c r="N55" s="31">
        <v>650</v>
      </c>
      <c r="O55" s="46">
        <f>'3-Digit Lotto Table'!C655</f>
        <v>0</v>
      </c>
      <c r="P55" s="31">
        <v>750</v>
      </c>
      <c r="Q55" s="46">
        <f>'3-Digit Lotto Table'!C755</f>
        <v>0</v>
      </c>
      <c r="R55" s="31">
        <v>850</v>
      </c>
      <c r="S55" s="46">
        <f>'3-Digit Lotto Table'!C855</f>
        <v>0</v>
      </c>
      <c r="T55" s="36">
        <v>950</v>
      </c>
      <c r="U55" s="48">
        <f>'3-Digit Lotto Table'!C955</f>
        <v>50</v>
      </c>
    </row>
    <row r="56" spans="2:21" x14ac:dyDescent="0.3">
      <c r="B56" s="32">
        <v>51</v>
      </c>
      <c r="C56" s="44">
        <f>'3-Digit Lotto Table'!C56</f>
        <v>0</v>
      </c>
      <c r="D56" s="33">
        <v>151</v>
      </c>
      <c r="E56" s="44">
        <f>'3-Digit Lotto Table'!C156</f>
        <v>0</v>
      </c>
      <c r="F56" s="33">
        <v>251</v>
      </c>
      <c r="G56" s="44">
        <f>'3-Digit Lotto Table'!C256</f>
        <v>0</v>
      </c>
      <c r="H56" s="33">
        <v>351</v>
      </c>
      <c r="I56" s="44">
        <f>'3-Digit Lotto Table'!C356</f>
        <v>0</v>
      </c>
      <c r="J56" s="33">
        <v>451</v>
      </c>
      <c r="K56" s="46">
        <f>'3-Digit Lotto Table'!C456</f>
        <v>0</v>
      </c>
      <c r="L56" s="31">
        <v>551</v>
      </c>
      <c r="M56" s="46">
        <f>'3-Digit Lotto Table'!C556</f>
        <v>0</v>
      </c>
      <c r="N56" s="31">
        <v>651</v>
      </c>
      <c r="O56" s="46">
        <f>'3-Digit Lotto Table'!C656</f>
        <v>50</v>
      </c>
      <c r="P56" s="31">
        <v>751</v>
      </c>
      <c r="Q56" s="46">
        <f>'3-Digit Lotto Table'!C756</f>
        <v>0</v>
      </c>
      <c r="R56" s="31">
        <v>851</v>
      </c>
      <c r="S56" s="46">
        <f>'3-Digit Lotto Table'!C856</f>
        <v>50</v>
      </c>
      <c r="T56" s="36">
        <v>951</v>
      </c>
      <c r="U56" s="48">
        <f>'3-Digit Lotto Table'!C956</f>
        <v>50</v>
      </c>
    </row>
    <row r="57" spans="2:21" x14ac:dyDescent="0.3">
      <c r="B57" s="32">
        <v>52</v>
      </c>
      <c r="C57" s="44">
        <f>'3-Digit Lotto Table'!C57</f>
        <v>0</v>
      </c>
      <c r="D57" s="33">
        <v>152</v>
      </c>
      <c r="E57" s="44">
        <f>'3-Digit Lotto Table'!C157</f>
        <v>0</v>
      </c>
      <c r="F57" s="33">
        <v>252</v>
      </c>
      <c r="G57" s="44">
        <f>'3-Digit Lotto Table'!C257</f>
        <v>0</v>
      </c>
      <c r="H57" s="33">
        <v>352</v>
      </c>
      <c r="I57" s="44">
        <f>'3-Digit Lotto Table'!C357</f>
        <v>0</v>
      </c>
      <c r="J57" s="33">
        <v>452</v>
      </c>
      <c r="K57" s="46">
        <f>'3-Digit Lotto Table'!C457</f>
        <v>0</v>
      </c>
      <c r="L57" s="31">
        <v>552</v>
      </c>
      <c r="M57" s="46">
        <f>'3-Digit Lotto Table'!C557</f>
        <v>0</v>
      </c>
      <c r="N57" s="31">
        <v>652</v>
      </c>
      <c r="O57" s="46">
        <f>'3-Digit Lotto Table'!C657</f>
        <v>0</v>
      </c>
      <c r="P57" s="31">
        <v>752</v>
      </c>
      <c r="Q57" s="46">
        <f>'3-Digit Lotto Table'!C757</f>
        <v>0</v>
      </c>
      <c r="R57" s="31">
        <v>852</v>
      </c>
      <c r="S57" s="46">
        <f>'3-Digit Lotto Table'!C857</f>
        <v>0</v>
      </c>
      <c r="T57" s="36">
        <v>952</v>
      </c>
      <c r="U57" s="48">
        <f>'3-Digit Lotto Table'!C957</f>
        <v>0</v>
      </c>
    </row>
    <row r="58" spans="2:21" x14ac:dyDescent="0.3">
      <c r="B58" s="32">
        <v>53</v>
      </c>
      <c r="C58" s="44">
        <f>'3-Digit Lotto Table'!C58</f>
        <v>0</v>
      </c>
      <c r="D58" s="33">
        <v>153</v>
      </c>
      <c r="E58" s="44">
        <f>'3-Digit Lotto Table'!C158</f>
        <v>0</v>
      </c>
      <c r="F58" s="33">
        <v>253</v>
      </c>
      <c r="G58" s="44">
        <f>'3-Digit Lotto Table'!C258</f>
        <v>0</v>
      </c>
      <c r="H58" s="33">
        <v>353</v>
      </c>
      <c r="I58" s="44">
        <f>'3-Digit Lotto Table'!C358</f>
        <v>0</v>
      </c>
      <c r="J58" s="33">
        <v>453</v>
      </c>
      <c r="K58" s="46">
        <f>'3-Digit Lotto Table'!C458</f>
        <v>0</v>
      </c>
      <c r="L58" s="31">
        <v>553</v>
      </c>
      <c r="M58" s="46">
        <f>'3-Digit Lotto Table'!C558</f>
        <v>0</v>
      </c>
      <c r="N58" s="31">
        <v>653</v>
      </c>
      <c r="O58" s="46">
        <f>'3-Digit Lotto Table'!C658</f>
        <v>0</v>
      </c>
      <c r="P58" s="31">
        <v>753</v>
      </c>
      <c r="Q58" s="46">
        <f>'3-Digit Lotto Table'!C758</f>
        <v>0</v>
      </c>
      <c r="R58" s="31">
        <v>853</v>
      </c>
      <c r="S58" s="46">
        <f>'3-Digit Lotto Table'!C858</f>
        <v>0</v>
      </c>
      <c r="T58" s="36">
        <v>953</v>
      </c>
      <c r="U58" s="48">
        <f>'3-Digit Lotto Table'!C958</f>
        <v>0</v>
      </c>
    </row>
    <row r="59" spans="2:21" x14ac:dyDescent="0.3">
      <c r="B59" s="32">
        <v>54</v>
      </c>
      <c r="C59" s="44">
        <f>'3-Digit Lotto Table'!C59</f>
        <v>0</v>
      </c>
      <c r="D59" s="33">
        <v>154</v>
      </c>
      <c r="E59" s="44">
        <f>'3-Digit Lotto Table'!C159</f>
        <v>0</v>
      </c>
      <c r="F59" s="33">
        <v>254</v>
      </c>
      <c r="G59" s="44">
        <f>'3-Digit Lotto Table'!C259</f>
        <v>0</v>
      </c>
      <c r="H59" s="33">
        <v>354</v>
      </c>
      <c r="I59" s="44">
        <f>'3-Digit Lotto Table'!C359</f>
        <v>0</v>
      </c>
      <c r="J59" s="33">
        <v>454</v>
      </c>
      <c r="K59" s="46">
        <f>'3-Digit Lotto Table'!C459</f>
        <v>0</v>
      </c>
      <c r="L59" s="31">
        <v>554</v>
      </c>
      <c r="M59" s="46">
        <f>'3-Digit Lotto Table'!C559</f>
        <v>0</v>
      </c>
      <c r="N59" s="31">
        <v>654</v>
      </c>
      <c r="O59" s="46">
        <f>'3-Digit Lotto Table'!C659</f>
        <v>0</v>
      </c>
      <c r="P59" s="31">
        <v>754</v>
      </c>
      <c r="Q59" s="46">
        <f>'3-Digit Lotto Table'!C759</f>
        <v>0</v>
      </c>
      <c r="R59" s="31">
        <v>854</v>
      </c>
      <c r="S59" s="46">
        <f>'3-Digit Lotto Table'!C859</f>
        <v>0</v>
      </c>
      <c r="T59" s="36">
        <v>954</v>
      </c>
      <c r="U59" s="48">
        <f>'3-Digit Lotto Table'!C959</f>
        <v>0</v>
      </c>
    </row>
    <row r="60" spans="2:21" x14ac:dyDescent="0.3">
      <c r="B60" s="32">
        <v>55</v>
      </c>
      <c r="C60" s="44">
        <f>'3-Digit Lotto Table'!C60</f>
        <v>0</v>
      </c>
      <c r="D60" s="33">
        <v>155</v>
      </c>
      <c r="E60" s="44">
        <f>'3-Digit Lotto Table'!C160</f>
        <v>0</v>
      </c>
      <c r="F60" s="33">
        <v>255</v>
      </c>
      <c r="G60" s="44">
        <f>'3-Digit Lotto Table'!C260</f>
        <v>100</v>
      </c>
      <c r="H60" s="33">
        <v>355</v>
      </c>
      <c r="I60" s="44">
        <f>'3-Digit Lotto Table'!C360</f>
        <v>0</v>
      </c>
      <c r="J60" s="33">
        <v>455</v>
      </c>
      <c r="K60" s="46">
        <f>'3-Digit Lotto Table'!C460</f>
        <v>0</v>
      </c>
      <c r="L60" s="31">
        <v>555</v>
      </c>
      <c r="M60" s="46">
        <f>'3-Digit Lotto Table'!C560</f>
        <v>0</v>
      </c>
      <c r="N60" s="31">
        <v>655</v>
      </c>
      <c r="O60" s="46">
        <f>'3-Digit Lotto Table'!C660</f>
        <v>0</v>
      </c>
      <c r="P60" s="31">
        <v>755</v>
      </c>
      <c r="Q60" s="46">
        <f>'3-Digit Lotto Table'!C760</f>
        <v>0</v>
      </c>
      <c r="R60" s="31">
        <v>855</v>
      </c>
      <c r="S60" s="46">
        <f>'3-Digit Lotto Table'!C860</f>
        <v>100</v>
      </c>
      <c r="T60" s="36">
        <v>955</v>
      </c>
      <c r="U60" s="48">
        <f>'3-Digit Lotto Table'!C960</f>
        <v>0</v>
      </c>
    </row>
    <row r="61" spans="2:21" x14ac:dyDescent="0.3">
      <c r="B61" s="32">
        <v>56</v>
      </c>
      <c r="C61" s="44">
        <f>'3-Digit Lotto Table'!C61</f>
        <v>0</v>
      </c>
      <c r="D61" s="33">
        <v>156</v>
      </c>
      <c r="E61" s="44">
        <f>'3-Digit Lotto Table'!C161</f>
        <v>0</v>
      </c>
      <c r="F61" s="33">
        <v>256</v>
      </c>
      <c r="G61" s="44">
        <f>'3-Digit Lotto Table'!C261</f>
        <v>0</v>
      </c>
      <c r="H61" s="33">
        <v>356</v>
      </c>
      <c r="I61" s="44">
        <f>'3-Digit Lotto Table'!C361</f>
        <v>0</v>
      </c>
      <c r="J61" s="33">
        <v>456</v>
      </c>
      <c r="K61" s="46">
        <f>'3-Digit Lotto Table'!C461</f>
        <v>0</v>
      </c>
      <c r="L61" s="31">
        <v>556</v>
      </c>
      <c r="M61" s="46">
        <f>'3-Digit Lotto Table'!C561</f>
        <v>0</v>
      </c>
      <c r="N61" s="31">
        <v>656</v>
      </c>
      <c r="O61" s="46">
        <f>'3-Digit Lotto Table'!C661</f>
        <v>0</v>
      </c>
      <c r="P61" s="31">
        <v>756</v>
      </c>
      <c r="Q61" s="46">
        <f>'3-Digit Lotto Table'!C761</f>
        <v>0</v>
      </c>
      <c r="R61" s="31">
        <v>856</v>
      </c>
      <c r="S61" s="46">
        <f>'3-Digit Lotto Table'!C861</f>
        <v>50</v>
      </c>
      <c r="T61" s="36">
        <v>956</v>
      </c>
      <c r="U61" s="48">
        <f>'3-Digit Lotto Table'!C961</f>
        <v>0</v>
      </c>
    </row>
    <row r="62" spans="2:21" x14ac:dyDescent="0.3">
      <c r="B62" s="32">
        <v>57</v>
      </c>
      <c r="C62" s="44">
        <f>'3-Digit Lotto Table'!C62</f>
        <v>0</v>
      </c>
      <c r="D62" s="33">
        <v>157</v>
      </c>
      <c r="E62" s="44">
        <f>'3-Digit Lotto Table'!C162</f>
        <v>0</v>
      </c>
      <c r="F62" s="33">
        <v>257</v>
      </c>
      <c r="G62" s="44">
        <f>'3-Digit Lotto Table'!C262</f>
        <v>100</v>
      </c>
      <c r="H62" s="33">
        <v>357</v>
      </c>
      <c r="I62" s="44">
        <f>'3-Digit Lotto Table'!C362</f>
        <v>200</v>
      </c>
      <c r="J62" s="33">
        <v>457</v>
      </c>
      <c r="K62" s="46">
        <f>'3-Digit Lotto Table'!C462</f>
        <v>0</v>
      </c>
      <c r="L62" s="31">
        <v>557</v>
      </c>
      <c r="M62" s="46">
        <f>'3-Digit Lotto Table'!C562</f>
        <v>0</v>
      </c>
      <c r="N62" s="31">
        <v>657</v>
      </c>
      <c r="O62" s="46">
        <f>'3-Digit Lotto Table'!C662</f>
        <v>0</v>
      </c>
      <c r="P62" s="31">
        <v>757</v>
      </c>
      <c r="Q62" s="46">
        <f>'3-Digit Lotto Table'!C762</f>
        <v>0</v>
      </c>
      <c r="R62" s="31">
        <v>857</v>
      </c>
      <c r="S62" s="46">
        <f>'3-Digit Lotto Table'!C862</f>
        <v>20</v>
      </c>
      <c r="T62" s="36">
        <v>957</v>
      </c>
      <c r="U62" s="48">
        <f>'3-Digit Lotto Table'!C962</f>
        <v>100</v>
      </c>
    </row>
    <row r="63" spans="2:21" x14ac:dyDescent="0.3">
      <c r="B63" s="32">
        <v>58</v>
      </c>
      <c r="C63" s="44">
        <f>'3-Digit Lotto Table'!C63</f>
        <v>0</v>
      </c>
      <c r="D63" s="33">
        <v>158</v>
      </c>
      <c r="E63" s="44">
        <f>'3-Digit Lotto Table'!C163</f>
        <v>50</v>
      </c>
      <c r="F63" s="33">
        <v>258</v>
      </c>
      <c r="G63" s="44">
        <f>'3-Digit Lotto Table'!C263</f>
        <v>0</v>
      </c>
      <c r="H63" s="33">
        <v>358</v>
      </c>
      <c r="I63" s="44">
        <f>'3-Digit Lotto Table'!C363</f>
        <v>0</v>
      </c>
      <c r="J63" s="33">
        <v>458</v>
      </c>
      <c r="K63" s="46">
        <f>'3-Digit Lotto Table'!C463</f>
        <v>0</v>
      </c>
      <c r="L63" s="31">
        <v>558</v>
      </c>
      <c r="M63" s="46">
        <f>'3-Digit Lotto Table'!C563</f>
        <v>0</v>
      </c>
      <c r="N63" s="31">
        <v>658</v>
      </c>
      <c r="O63" s="46">
        <f>'3-Digit Lotto Table'!C663</f>
        <v>50</v>
      </c>
      <c r="P63" s="31">
        <v>758</v>
      </c>
      <c r="Q63" s="46">
        <f>'3-Digit Lotto Table'!C763</f>
        <v>100</v>
      </c>
      <c r="R63" s="31">
        <v>858</v>
      </c>
      <c r="S63" s="46">
        <f>'3-Digit Lotto Table'!C863</f>
        <v>0</v>
      </c>
      <c r="T63" s="36">
        <v>958</v>
      </c>
      <c r="U63" s="48">
        <f>'3-Digit Lotto Table'!C963</f>
        <v>150</v>
      </c>
    </row>
    <row r="64" spans="2:21" x14ac:dyDescent="0.3">
      <c r="B64" s="32">
        <v>59</v>
      </c>
      <c r="C64" s="44">
        <f>'3-Digit Lotto Table'!C64</f>
        <v>50</v>
      </c>
      <c r="D64" s="33">
        <v>159</v>
      </c>
      <c r="E64" s="44">
        <f>'3-Digit Lotto Table'!C164</f>
        <v>0</v>
      </c>
      <c r="F64" s="33">
        <v>259</v>
      </c>
      <c r="G64" s="44">
        <f>'3-Digit Lotto Table'!C264</f>
        <v>0</v>
      </c>
      <c r="H64" s="33">
        <v>359</v>
      </c>
      <c r="I64" s="44">
        <f>'3-Digit Lotto Table'!C364</f>
        <v>0</v>
      </c>
      <c r="J64" s="33">
        <v>459</v>
      </c>
      <c r="K64" s="46">
        <f>'3-Digit Lotto Table'!C464</f>
        <v>0</v>
      </c>
      <c r="L64" s="31">
        <v>559</v>
      </c>
      <c r="M64" s="46">
        <f>'3-Digit Lotto Table'!C564</f>
        <v>0</v>
      </c>
      <c r="N64" s="31">
        <v>659</v>
      </c>
      <c r="O64" s="46">
        <f>'3-Digit Lotto Table'!C664</f>
        <v>0</v>
      </c>
      <c r="P64" s="31">
        <v>759</v>
      </c>
      <c r="Q64" s="46">
        <f>'3-Digit Lotto Table'!C764</f>
        <v>0</v>
      </c>
      <c r="R64" s="31">
        <v>859</v>
      </c>
      <c r="S64" s="46">
        <f>'3-Digit Lotto Table'!C864</f>
        <v>50</v>
      </c>
      <c r="T64" s="36">
        <v>959</v>
      </c>
      <c r="U64" s="48">
        <f>'3-Digit Lotto Table'!C964</f>
        <v>0</v>
      </c>
    </row>
    <row r="65" spans="2:21" x14ac:dyDescent="0.3">
      <c r="B65" s="32">
        <v>60</v>
      </c>
      <c r="C65" s="44">
        <f>'3-Digit Lotto Table'!C65</f>
        <v>0</v>
      </c>
      <c r="D65" s="33">
        <v>160</v>
      </c>
      <c r="E65" s="44">
        <f>'3-Digit Lotto Table'!C165</f>
        <v>0</v>
      </c>
      <c r="F65" s="33">
        <v>260</v>
      </c>
      <c r="G65" s="44">
        <f>'3-Digit Lotto Table'!C265</f>
        <v>0</v>
      </c>
      <c r="H65" s="33">
        <v>360</v>
      </c>
      <c r="I65" s="44">
        <f>'3-Digit Lotto Table'!C365</f>
        <v>0</v>
      </c>
      <c r="J65" s="33">
        <v>460</v>
      </c>
      <c r="K65" s="46">
        <f>'3-Digit Lotto Table'!C465</f>
        <v>0</v>
      </c>
      <c r="L65" s="31">
        <v>560</v>
      </c>
      <c r="M65" s="46">
        <f>'3-Digit Lotto Table'!C565</f>
        <v>0</v>
      </c>
      <c r="N65" s="31">
        <v>660</v>
      </c>
      <c r="O65" s="46">
        <f>'3-Digit Lotto Table'!C665</f>
        <v>0</v>
      </c>
      <c r="P65" s="31">
        <v>760</v>
      </c>
      <c r="Q65" s="46">
        <f>'3-Digit Lotto Table'!C765</f>
        <v>0</v>
      </c>
      <c r="R65" s="31">
        <v>860</v>
      </c>
      <c r="S65" s="46">
        <f>'3-Digit Lotto Table'!C865</f>
        <v>0</v>
      </c>
      <c r="T65" s="36">
        <v>960</v>
      </c>
      <c r="U65" s="48">
        <f>'3-Digit Lotto Table'!C965</f>
        <v>0</v>
      </c>
    </row>
    <row r="66" spans="2:21" x14ac:dyDescent="0.3">
      <c r="B66" s="32">
        <v>61</v>
      </c>
      <c r="C66" s="44">
        <f>'3-Digit Lotto Table'!C66</f>
        <v>0</v>
      </c>
      <c r="D66" s="33">
        <v>161</v>
      </c>
      <c r="E66" s="44">
        <f>'3-Digit Lotto Table'!C166</f>
        <v>0</v>
      </c>
      <c r="F66" s="33">
        <v>261</v>
      </c>
      <c r="G66" s="44">
        <f>'3-Digit Lotto Table'!C266</f>
        <v>0</v>
      </c>
      <c r="H66" s="33">
        <v>361</v>
      </c>
      <c r="I66" s="44">
        <f>'3-Digit Lotto Table'!C366</f>
        <v>0</v>
      </c>
      <c r="J66" s="33">
        <v>461</v>
      </c>
      <c r="K66" s="46">
        <f>'3-Digit Lotto Table'!C466</f>
        <v>50</v>
      </c>
      <c r="L66" s="31">
        <v>561</v>
      </c>
      <c r="M66" s="46">
        <f>'3-Digit Lotto Table'!C566</f>
        <v>0</v>
      </c>
      <c r="N66" s="31">
        <v>661</v>
      </c>
      <c r="O66" s="46">
        <f>'3-Digit Lotto Table'!C666</f>
        <v>0</v>
      </c>
      <c r="P66" s="31">
        <v>761</v>
      </c>
      <c r="Q66" s="46">
        <f>'3-Digit Lotto Table'!C766</f>
        <v>0</v>
      </c>
      <c r="R66" s="31">
        <v>861</v>
      </c>
      <c r="S66" s="46">
        <f>'3-Digit Lotto Table'!C866</f>
        <v>0</v>
      </c>
      <c r="T66" s="36">
        <v>961</v>
      </c>
      <c r="U66" s="48">
        <f>'3-Digit Lotto Table'!C966</f>
        <v>0</v>
      </c>
    </row>
    <row r="67" spans="2:21" x14ac:dyDescent="0.3">
      <c r="B67" s="32">
        <v>62</v>
      </c>
      <c r="C67" s="44">
        <f>'3-Digit Lotto Table'!C67</f>
        <v>0</v>
      </c>
      <c r="D67" s="33">
        <v>162</v>
      </c>
      <c r="E67" s="44">
        <f>'3-Digit Lotto Table'!C167</f>
        <v>0</v>
      </c>
      <c r="F67" s="33">
        <v>262</v>
      </c>
      <c r="G67" s="44">
        <f>'3-Digit Lotto Table'!C267</f>
        <v>0</v>
      </c>
      <c r="H67" s="33">
        <v>362</v>
      </c>
      <c r="I67" s="44">
        <f>'3-Digit Lotto Table'!C367</f>
        <v>0</v>
      </c>
      <c r="J67" s="33">
        <v>462</v>
      </c>
      <c r="K67" s="46">
        <f>'3-Digit Lotto Table'!C467</f>
        <v>0</v>
      </c>
      <c r="L67" s="31">
        <v>562</v>
      </c>
      <c r="M67" s="46">
        <f>'3-Digit Lotto Table'!C567</f>
        <v>0</v>
      </c>
      <c r="N67" s="31">
        <v>662</v>
      </c>
      <c r="O67" s="46">
        <f>'3-Digit Lotto Table'!C667</f>
        <v>0</v>
      </c>
      <c r="P67" s="31">
        <v>762</v>
      </c>
      <c r="Q67" s="46">
        <f>'3-Digit Lotto Table'!C767</f>
        <v>0</v>
      </c>
      <c r="R67" s="31">
        <v>862</v>
      </c>
      <c r="S67" s="46">
        <f>'3-Digit Lotto Table'!C867</f>
        <v>0</v>
      </c>
      <c r="T67" s="36">
        <v>962</v>
      </c>
      <c r="U67" s="48">
        <f>'3-Digit Lotto Table'!C967</f>
        <v>0</v>
      </c>
    </row>
    <row r="68" spans="2:21" x14ac:dyDescent="0.3">
      <c r="B68" s="32">
        <v>63</v>
      </c>
      <c r="C68" s="44">
        <f>'3-Digit Lotto Table'!C68</f>
        <v>0</v>
      </c>
      <c r="D68" s="33">
        <v>163</v>
      </c>
      <c r="E68" s="44">
        <f>'3-Digit Lotto Table'!C168</f>
        <v>0</v>
      </c>
      <c r="F68" s="33">
        <v>263</v>
      </c>
      <c r="G68" s="44">
        <f>'3-Digit Lotto Table'!C268</f>
        <v>0</v>
      </c>
      <c r="H68" s="33">
        <v>363</v>
      </c>
      <c r="I68" s="44">
        <f>'3-Digit Lotto Table'!C368</f>
        <v>0</v>
      </c>
      <c r="J68" s="33">
        <v>463</v>
      </c>
      <c r="K68" s="46">
        <f>'3-Digit Lotto Table'!C468</f>
        <v>0</v>
      </c>
      <c r="L68" s="31">
        <v>563</v>
      </c>
      <c r="M68" s="46">
        <f>'3-Digit Lotto Table'!C568</f>
        <v>100</v>
      </c>
      <c r="N68" s="31">
        <v>663</v>
      </c>
      <c r="O68" s="46">
        <f>'3-Digit Lotto Table'!C668</f>
        <v>0</v>
      </c>
      <c r="P68" s="31">
        <v>763</v>
      </c>
      <c r="Q68" s="46">
        <f>'3-Digit Lotto Table'!C768</f>
        <v>100</v>
      </c>
      <c r="R68" s="31">
        <v>863</v>
      </c>
      <c r="S68" s="46">
        <f>'3-Digit Lotto Table'!C868</f>
        <v>200</v>
      </c>
      <c r="T68" s="36">
        <v>963</v>
      </c>
      <c r="U68" s="48">
        <f>'3-Digit Lotto Table'!C968</f>
        <v>0</v>
      </c>
    </row>
    <row r="69" spans="2:21" x14ac:dyDescent="0.3">
      <c r="B69" s="32">
        <v>64</v>
      </c>
      <c r="C69" s="44">
        <f>'3-Digit Lotto Table'!C69</f>
        <v>0</v>
      </c>
      <c r="D69" s="33">
        <v>164</v>
      </c>
      <c r="E69" s="44">
        <f>'3-Digit Lotto Table'!C169</f>
        <v>0</v>
      </c>
      <c r="F69" s="33">
        <v>264</v>
      </c>
      <c r="G69" s="44">
        <f>'3-Digit Lotto Table'!C269</f>
        <v>0</v>
      </c>
      <c r="H69" s="33">
        <v>364</v>
      </c>
      <c r="I69" s="44">
        <f>'3-Digit Lotto Table'!C369</f>
        <v>50</v>
      </c>
      <c r="J69" s="33">
        <v>464</v>
      </c>
      <c r="K69" s="46">
        <f>'3-Digit Lotto Table'!C469</f>
        <v>0</v>
      </c>
      <c r="L69" s="31">
        <v>564</v>
      </c>
      <c r="M69" s="46">
        <f>'3-Digit Lotto Table'!C569</f>
        <v>0</v>
      </c>
      <c r="N69" s="31">
        <v>664</v>
      </c>
      <c r="O69" s="46">
        <f>'3-Digit Lotto Table'!C669</f>
        <v>0</v>
      </c>
      <c r="P69" s="31">
        <v>764</v>
      </c>
      <c r="Q69" s="46">
        <f>'3-Digit Lotto Table'!C769</f>
        <v>0</v>
      </c>
      <c r="R69" s="31">
        <v>864</v>
      </c>
      <c r="S69" s="46">
        <f>'3-Digit Lotto Table'!C869</f>
        <v>0</v>
      </c>
      <c r="T69" s="36">
        <v>964</v>
      </c>
      <c r="U69" s="48">
        <f>'3-Digit Lotto Table'!C969</f>
        <v>0</v>
      </c>
    </row>
    <row r="70" spans="2:21" x14ac:dyDescent="0.3">
      <c r="B70" s="32">
        <v>65</v>
      </c>
      <c r="C70" s="44">
        <f>'3-Digit Lotto Table'!C70</f>
        <v>0</v>
      </c>
      <c r="D70" s="33">
        <v>165</v>
      </c>
      <c r="E70" s="44">
        <f>'3-Digit Lotto Table'!C170</f>
        <v>0</v>
      </c>
      <c r="F70" s="33">
        <v>265</v>
      </c>
      <c r="G70" s="44">
        <f>'3-Digit Lotto Table'!C270</f>
        <v>0</v>
      </c>
      <c r="H70" s="33">
        <v>365</v>
      </c>
      <c r="I70" s="44">
        <f>'3-Digit Lotto Table'!C370</f>
        <v>0</v>
      </c>
      <c r="J70" s="33">
        <v>465</v>
      </c>
      <c r="K70" s="46">
        <f>'3-Digit Lotto Table'!C470</f>
        <v>0</v>
      </c>
      <c r="L70" s="31">
        <v>565</v>
      </c>
      <c r="M70" s="46">
        <f>'3-Digit Lotto Table'!C570</f>
        <v>0</v>
      </c>
      <c r="N70" s="31">
        <v>665</v>
      </c>
      <c r="O70" s="46">
        <f>'3-Digit Lotto Table'!C670</f>
        <v>0</v>
      </c>
      <c r="P70" s="31">
        <v>765</v>
      </c>
      <c r="Q70" s="46">
        <f>'3-Digit Lotto Table'!C770</f>
        <v>0</v>
      </c>
      <c r="R70" s="31">
        <v>865</v>
      </c>
      <c r="S70" s="46">
        <f>'3-Digit Lotto Table'!C870</f>
        <v>50</v>
      </c>
      <c r="T70" s="36">
        <v>965</v>
      </c>
      <c r="U70" s="48">
        <f>'3-Digit Lotto Table'!C970</f>
        <v>0</v>
      </c>
    </row>
    <row r="71" spans="2:21" x14ac:dyDescent="0.3">
      <c r="B71" s="32">
        <v>66</v>
      </c>
      <c r="C71" s="44">
        <f>'3-Digit Lotto Table'!C71</f>
        <v>0</v>
      </c>
      <c r="D71" s="33">
        <v>166</v>
      </c>
      <c r="E71" s="44">
        <f>'3-Digit Lotto Table'!C171</f>
        <v>0</v>
      </c>
      <c r="F71" s="33">
        <v>266</v>
      </c>
      <c r="G71" s="44">
        <f>'3-Digit Lotto Table'!C271</f>
        <v>0</v>
      </c>
      <c r="H71" s="33">
        <v>366</v>
      </c>
      <c r="I71" s="44">
        <f>'3-Digit Lotto Table'!C371</f>
        <v>0</v>
      </c>
      <c r="J71" s="33">
        <v>466</v>
      </c>
      <c r="K71" s="46">
        <f>'3-Digit Lotto Table'!C471</f>
        <v>0</v>
      </c>
      <c r="L71" s="31">
        <v>566</v>
      </c>
      <c r="M71" s="46">
        <f>'3-Digit Lotto Table'!C571</f>
        <v>0</v>
      </c>
      <c r="N71" s="31">
        <v>666</v>
      </c>
      <c r="O71" s="46">
        <f>'3-Digit Lotto Table'!C671</f>
        <v>0</v>
      </c>
      <c r="P71" s="31">
        <v>766</v>
      </c>
      <c r="Q71" s="46">
        <f>'3-Digit Lotto Table'!C771</f>
        <v>20</v>
      </c>
      <c r="R71" s="31">
        <v>866</v>
      </c>
      <c r="S71" s="46">
        <f>'3-Digit Lotto Table'!C871</f>
        <v>30</v>
      </c>
      <c r="T71" s="36">
        <v>966</v>
      </c>
      <c r="U71" s="48">
        <f>'3-Digit Lotto Table'!C971</f>
        <v>0</v>
      </c>
    </row>
    <row r="72" spans="2:21" x14ac:dyDescent="0.3">
      <c r="B72" s="32">
        <v>67</v>
      </c>
      <c r="C72" s="44">
        <f>'3-Digit Lotto Table'!C72</f>
        <v>0</v>
      </c>
      <c r="D72" s="33">
        <v>167</v>
      </c>
      <c r="E72" s="44">
        <f>'3-Digit Lotto Table'!C172</f>
        <v>0</v>
      </c>
      <c r="F72" s="33">
        <v>267</v>
      </c>
      <c r="G72" s="44">
        <f>'3-Digit Lotto Table'!C272</f>
        <v>0</v>
      </c>
      <c r="H72" s="33">
        <v>367</v>
      </c>
      <c r="I72" s="44">
        <f>'3-Digit Lotto Table'!C372</f>
        <v>50</v>
      </c>
      <c r="J72" s="33">
        <v>467</v>
      </c>
      <c r="K72" s="46">
        <f>'3-Digit Lotto Table'!C472</f>
        <v>50</v>
      </c>
      <c r="L72" s="31">
        <v>567</v>
      </c>
      <c r="M72" s="46">
        <f>'3-Digit Lotto Table'!C572</f>
        <v>0</v>
      </c>
      <c r="N72" s="31">
        <v>667</v>
      </c>
      <c r="O72" s="46">
        <f>'3-Digit Lotto Table'!C672</f>
        <v>0</v>
      </c>
      <c r="P72" s="31">
        <v>767</v>
      </c>
      <c r="Q72" s="46">
        <f>'3-Digit Lotto Table'!C772</f>
        <v>0</v>
      </c>
      <c r="R72" s="31">
        <v>867</v>
      </c>
      <c r="S72" s="46">
        <f>'3-Digit Lotto Table'!C872</f>
        <v>20</v>
      </c>
      <c r="T72" s="36">
        <v>967</v>
      </c>
      <c r="U72" s="48">
        <f>'3-Digit Lotto Table'!C972</f>
        <v>0</v>
      </c>
    </row>
    <row r="73" spans="2:21" x14ac:dyDescent="0.3">
      <c r="B73" s="32">
        <v>68</v>
      </c>
      <c r="C73" s="44">
        <f>'3-Digit Lotto Table'!C73</f>
        <v>0</v>
      </c>
      <c r="D73" s="33">
        <v>168</v>
      </c>
      <c r="E73" s="44">
        <f>'3-Digit Lotto Table'!C173</f>
        <v>0</v>
      </c>
      <c r="F73" s="33">
        <v>268</v>
      </c>
      <c r="G73" s="44">
        <f>'3-Digit Lotto Table'!C273</f>
        <v>0</v>
      </c>
      <c r="H73" s="33">
        <v>368</v>
      </c>
      <c r="I73" s="44">
        <f>'3-Digit Lotto Table'!C373</f>
        <v>0</v>
      </c>
      <c r="J73" s="33">
        <v>468</v>
      </c>
      <c r="K73" s="46">
        <f>'3-Digit Lotto Table'!C473</f>
        <v>0</v>
      </c>
      <c r="L73" s="31">
        <v>568</v>
      </c>
      <c r="M73" s="46">
        <f>'3-Digit Lotto Table'!C573</f>
        <v>50</v>
      </c>
      <c r="N73" s="31">
        <v>668</v>
      </c>
      <c r="O73" s="46">
        <f>'3-Digit Lotto Table'!C673</f>
        <v>0</v>
      </c>
      <c r="P73" s="31">
        <v>768</v>
      </c>
      <c r="Q73" s="46">
        <f>'3-Digit Lotto Table'!C773</f>
        <v>100</v>
      </c>
      <c r="R73" s="31">
        <v>868</v>
      </c>
      <c r="S73" s="46">
        <f>'3-Digit Lotto Table'!C873</f>
        <v>0</v>
      </c>
      <c r="T73" s="36">
        <v>968</v>
      </c>
      <c r="U73" s="48">
        <f>'3-Digit Lotto Table'!C973</f>
        <v>100</v>
      </c>
    </row>
    <row r="74" spans="2:21" x14ac:dyDescent="0.3">
      <c r="B74" s="32">
        <v>69</v>
      </c>
      <c r="C74" s="44">
        <f>'3-Digit Lotto Table'!C74</f>
        <v>0</v>
      </c>
      <c r="D74" s="33">
        <v>169</v>
      </c>
      <c r="E74" s="44">
        <f>'3-Digit Lotto Table'!C174</f>
        <v>0</v>
      </c>
      <c r="F74" s="33">
        <v>269</v>
      </c>
      <c r="G74" s="44">
        <f>'3-Digit Lotto Table'!C274</f>
        <v>0</v>
      </c>
      <c r="H74" s="33">
        <v>369</v>
      </c>
      <c r="I74" s="44">
        <f>'3-Digit Lotto Table'!C374</f>
        <v>0</v>
      </c>
      <c r="J74" s="33">
        <v>469</v>
      </c>
      <c r="K74" s="46">
        <f>'3-Digit Lotto Table'!C474</f>
        <v>0</v>
      </c>
      <c r="L74" s="31">
        <v>569</v>
      </c>
      <c r="M74" s="46">
        <f>'3-Digit Lotto Table'!C574</f>
        <v>50</v>
      </c>
      <c r="N74" s="31">
        <v>669</v>
      </c>
      <c r="O74" s="46">
        <f>'3-Digit Lotto Table'!C674</f>
        <v>0</v>
      </c>
      <c r="P74" s="31">
        <v>769</v>
      </c>
      <c r="Q74" s="46">
        <f>'3-Digit Lotto Table'!C774</f>
        <v>0</v>
      </c>
      <c r="R74" s="31">
        <v>869</v>
      </c>
      <c r="S74" s="46">
        <f>'3-Digit Lotto Table'!C874</f>
        <v>20</v>
      </c>
      <c r="T74" s="36">
        <v>969</v>
      </c>
      <c r="U74" s="48">
        <f>'3-Digit Lotto Table'!C974</f>
        <v>0</v>
      </c>
    </row>
    <row r="75" spans="2:21" x14ac:dyDescent="0.3">
      <c r="B75" s="32">
        <v>70</v>
      </c>
      <c r="C75" s="44">
        <f>'3-Digit Lotto Table'!C75</f>
        <v>0</v>
      </c>
      <c r="D75" s="33">
        <v>170</v>
      </c>
      <c r="E75" s="44">
        <f>'3-Digit Lotto Table'!C175</f>
        <v>0</v>
      </c>
      <c r="F75" s="33">
        <v>270</v>
      </c>
      <c r="G75" s="44">
        <f>'3-Digit Lotto Table'!C275</f>
        <v>0</v>
      </c>
      <c r="H75" s="33">
        <v>370</v>
      </c>
      <c r="I75" s="44">
        <f>'3-Digit Lotto Table'!C375</f>
        <v>0</v>
      </c>
      <c r="J75" s="33">
        <v>470</v>
      </c>
      <c r="K75" s="46">
        <f>'3-Digit Lotto Table'!C475</f>
        <v>0</v>
      </c>
      <c r="L75" s="31">
        <v>570</v>
      </c>
      <c r="M75" s="46">
        <f>'3-Digit Lotto Table'!C575</f>
        <v>0</v>
      </c>
      <c r="N75" s="31">
        <v>670</v>
      </c>
      <c r="O75" s="46">
        <f>'3-Digit Lotto Table'!C675</f>
        <v>0</v>
      </c>
      <c r="P75" s="31">
        <v>770</v>
      </c>
      <c r="Q75" s="46">
        <f>'3-Digit Lotto Table'!C775</f>
        <v>0</v>
      </c>
      <c r="R75" s="31">
        <v>870</v>
      </c>
      <c r="S75" s="46">
        <f>'3-Digit Lotto Table'!C875</f>
        <v>0</v>
      </c>
      <c r="T75" s="36">
        <v>970</v>
      </c>
      <c r="U75" s="48">
        <f>'3-Digit Lotto Table'!C975</f>
        <v>0</v>
      </c>
    </row>
    <row r="76" spans="2:21" x14ac:dyDescent="0.3">
      <c r="B76" s="32">
        <v>71</v>
      </c>
      <c r="C76" s="44">
        <f>'3-Digit Lotto Table'!C76</f>
        <v>0</v>
      </c>
      <c r="D76" s="33">
        <v>171</v>
      </c>
      <c r="E76" s="44">
        <f>'3-Digit Lotto Table'!C176</f>
        <v>0</v>
      </c>
      <c r="F76" s="33">
        <v>271</v>
      </c>
      <c r="G76" s="44">
        <f>'3-Digit Lotto Table'!C276</f>
        <v>0</v>
      </c>
      <c r="H76" s="33">
        <v>371</v>
      </c>
      <c r="I76" s="44">
        <f>'3-Digit Lotto Table'!C376</f>
        <v>0</v>
      </c>
      <c r="J76" s="33">
        <v>471</v>
      </c>
      <c r="K76" s="46">
        <f>'3-Digit Lotto Table'!C476</f>
        <v>0</v>
      </c>
      <c r="L76" s="31">
        <v>571</v>
      </c>
      <c r="M76" s="46">
        <f>'3-Digit Lotto Table'!C576</f>
        <v>0</v>
      </c>
      <c r="N76" s="31">
        <v>671</v>
      </c>
      <c r="O76" s="46">
        <f>'3-Digit Lotto Table'!C676</f>
        <v>0</v>
      </c>
      <c r="P76" s="31">
        <v>771</v>
      </c>
      <c r="Q76" s="46">
        <f>'3-Digit Lotto Table'!C776</f>
        <v>0</v>
      </c>
      <c r="R76" s="31">
        <v>871</v>
      </c>
      <c r="S76" s="46">
        <f>'3-Digit Lotto Table'!C876</f>
        <v>0</v>
      </c>
      <c r="T76" s="36">
        <v>971</v>
      </c>
      <c r="U76" s="48">
        <f>'3-Digit Lotto Table'!C976</f>
        <v>0</v>
      </c>
    </row>
    <row r="77" spans="2:21" x14ac:dyDescent="0.3">
      <c r="B77" s="32">
        <v>72</v>
      </c>
      <c r="C77" s="44">
        <f>'3-Digit Lotto Table'!C77</f>
        <v>0</v>
      </c>
      <c r="D77" s="33">
        <v>172</v>
      </c>
      <c r="E77" s="44">
        <f>'3-Digit Lotto Table'!C177</f>
        <v>0</v>
      </c>
      <c r="F77" s="33">
        <v>272</v>
      </c>
      <c r="G77" s="44">
        <f>'3-Digit Lotto Table'!C277</f>
        <v>0</v>
      </c>
      <c r="H77" s="33">
        <v>372</v>
      </c>
      <c r="I77" s="44">
        <f>'3-Digit Lotto Table'!C377</f>
        <v>300</v>
      </c>
      <c r="J77" s="33">
        <v>472</v>
      </c>
      <c r="K77" s="46">
        <f>'3-Digit Lotto Table'!C477</f>
        <v>0</v>
      </c>
      <c r="L77" s="31">
        <v>572</v>
      </c>
      <c r="M77" s="46">
        <f>'3-Digit Lotto Table'!C577</f>
        <v>0</v>
      </c>
      <c r="N77" s="31">
        <v>672</v>
      </c>
      <c r="O77" s="46">
        <f>'3-Digit Lotto Table'!C677</f>
        <v>0</v>
      </c>
      <c r="P77" s="31">
        <v>772</v>
      </c>
      <c r="Q77" s="46">
        <f>'3-Digit Lotto Table'!C777</f>
        <v>0</v>
      </c>
      <c r="R77" s="31">
        <v>872</v>
      </c>
      <c r="S77" s="46">
        <f>'3-Digit Lotto Table'!C877</f>
        <v>0</v>
      </c>
      <c r="T77" s="36">
        <v>972</v>
      </c>
      <c r="U77" s="48">
        <f>'3-Digit Lotto Table'!C977</f>
        <v>0</v>
      </c>
    </row>
    <row r="78" spans="2:21" x14ac:dyDescent="0.3">
      <c r="B78" s="32">
        <v>73</v>
      </c>
      <c r="C78" s="44">
        <f>'3-Digit Lotto Table'!C78</f>
        <v>0</v>
      </c>
      <c r="D78" s="33">
        <v>173</v>
      </c>
      <c r="E78" s="44">
        <f>'3-Digit Lotto Table'!C178</f>
        <v>0</v>
      </c>
      <c r="F78" s="33">
        <v>273</v>
      </c>
      <c r="G78" s="44">
        <f>'3-Digit Lotto Table'!C278</f>
        <v>20</v>
      </c>
      <c r="H78" s="33">
        <v>373</v>
      </c>
      <c r="I78" s="44">
        <f>'3-Digit Lotto Table'!C378</f>
        <v>0</v>
      </c>
      <c r="J78" s="33">
        <v>473</v>
      </c>
      <c r="K78" s="46">
        <f>'3-Digit Lotto Table'!C478</f>
        <v>0</v>
      </c>
      <c r="L78" s="31">
        <v>573</v>
      </c>
      <c r="M78" s="46">
        <f>'3-Digit Lotto Table'!C578</f>
        <v>0</v>
      </c>
      <c r="N78" s="31">
        <v>673</v>
      </c>
      <c r="O78" s="46">
        <f>'3-Digit Lotto Table'!C678</f>
        <v>50</v>
      </c>
      <c r="P78" s="31">
        <v>773</v>
      </c>
      <c r="Q78" s="46">
        <f>'3-Digit Lotto Table'!C778</f>
        <v>0</v>
      </c>
      <c r="R78" s="31">
        <v>873</v>
      </c>
      <c r="S78" s="46">
        <f>'3-Digit Lotto Table'!C878</f>
        <v>50</v>
      </c>
      <c r="T78" s="36">
        <v>973</v>
      </c>
      <c r="U78" s="48">
        <f>'3-Digit Lotto Table'!C978</f>
        <v>70</v>
      </c>
    </row>
    <row r="79" spans="2:21" x14ac:dyDescent="0.3">
      <c r="B79" s="32">
        <v>74</v>
      </c>
      <c r="C79" s="44">
        <f>'3-Digit Lotto Table'!C79</f>
        <v>0</v>
      </c>
      <c r="D79" s="33">
        <v>174</v>
      </c>
      <c r="E79" s="44">
        <f>'3-Digit Lotto Table'!C179</f>
        <v>0</v>
      </c>
      <c r="F79" s="33">
        <v>274</v>
      </c>
      <c r="G79" s="44">
        <f>'3-Digit Lotto Table'!C279</f>
        <v>0</v>
      </c>
      <c r="H79" s="33">
        <v>374</v>
      </c>
      <c r="I79" s="44">
        <f>'3-Digit Lotto Table'!C379</f>
        <v>0</v>
      </c>
      <c r="J79" s="33">
        <v>474</v>
      </c>
      <c r="K79" s="46">
        <f>'3-Digit Lotto Table'!C479</f>
        <v>0</v>
      </c>
      <c r="L79" s="31">
        <v>574</v>
      </c>
      <c r="M79" s="46">
        <f>'3-Digit Lotto Table'!C579</f>
        <v>0</v>
      </c>
      <c r="N79" s="31">
        <v>674</v>
      </c>
      <c r="O79" s="46">
        <f>'3-Digit Lotto Table'!C679</f>
        <v>0</v>
      </c>
      <c r="P79" s="31">
        <v>774</v>
      </c>
      <c r="Q79" s="46">
        <f>'3-Digit Lotto Table'!C779</f>
        <v>0</v>
      </c>
      <c r="R79" s="31">
        <v>874</v>
      </c>
      <c r="S79" s="46">
        <f>'3-Digit Lotto Table'!C879</f>
        <v>0</v>
      </c>
      <c r="T79" s="36">
        <v>974</v>
      </c>
      <c r="U79" s="48">
        <f>'3-Digit Lotto Table'!C979</f>
        <v>0</v>
      </c>
    </row>
    <row r="80" spans="2:21" x14ac:dyDescent="0.3">
      <c r="B80" s="32">
        <v>75</v>
      </c>
      <c r="C80" s="44">
        <f>'3-Digit Lotto Table'!C80</f>
        <v>0</v>
      </c>
      <c r="D80" s="33">
        <v>175</v>
      </c>
      <c r="E80" s="44">
        <f>'3-Digit Lotto Table'!C180</f>
        <v>300</v>
      </c>
      <c r="F80" s="33">
        <v>275</v>
      </c>
      <c r="G80" s="44">
        <f>'3-Digit Lotto Table'!C280</f>
        <v>0</v>
      </c>
      <c r="H80" s="33">
        <v>375</v>
      </c>
      <c r="I80" s="44">
        <f>'3-Digit Lotto Table'!C380</f>
        <v>20</v>
      </c>
      <c r="J80" s="33">
        <v>475</v>
      </c>
      <c r="K80" s="46">
        <f>'3-Digit Lotto Table'!C480</f>
        <v>0</v>
      </c>
      <c r="L80" s="31">
        <v>575</v>
      </c>
      <c r="M80" s="46">
        <f>'3-Digit Lotto Table'!C580</f>
        <v>0</v>
      </c>
      <c r="N80" s="31">
        <v>675</v>
      </c>
      <c r="O80" s="46">
        <f>'3-Digit Lotto Table'!C680</f>
        <v>0</v>
      </c>
      <c r="P80" s="31">
        <v>775</v>
      </c>
      <c r="Q80" s="46">
        <f>'3-Digit Lotto Table'!C780</f>
        <v>0</v>
      </c>
      <c r="R80" s="31">
        <v>875</v>
      </c>
      <c r="S80" s="46">
        <f>'3-Digit Lotto Table'!C880</f>
        <v>20</v>
      </c>
      <c r="T80" s="36">
        <v>975</v>
      </c>
      <c r="U80" s="48">
        <f>'3-Digit Lotto Table'!C980</f>
        <v>0</v>
      </c>
    </row>
    <row r="81" spans="2:21" x14ac:dyDescent="0.3">
      <c r="B81" s="32">
        <v>76</v>
      </c>
      <c r="C81" s="44">
        <f>'3-Digit Lotto Table'!C81</f>
        <v>0</v>
      </c>
      <c r="D81" s="33">
        <v>176</v>
      </c>
      <c r="E81" s="44">
        <f>'3-Digit Lotto Table'!C181</f>
        <v>0</v>
      </c>
      <c r="F81" s="33">
        <v>276</v>
      </c>
      <c r="G81" s="44">
        <f>'3-Digit Lotto Table'!C281</f>
        <v>0</v>
      </c>
      <c r="H81" s="33">
        <v>376</v>
      </c>
      <c r="I81" s="44">
        <f>'3-Digit Lotto Table'!C381</f>
        <v>50</v>
      </c>
      <c r="J81" s="33">
        <v>476</v>
      </c>
      <c r="K81" s="46">
        <f>'3-Digit Lotto Table'!C481</f>
        <v>0</v>
      </c>
      <c r="L81" s="31">
        <v>576</v>
      </c>
      <c r="M81" s="46">
        <f>'3-Digit Lotto Table'!C581</f>
        <v>0</v>
      </c>
      <c r="N81" s="31">
        <v>676</v>
      </c>
      <c r="O81" s="46">
        <f>'3-Digit Lotto Table'!C681</f>
        <v>0</v>
      </c>
      <c r="P81" s="31">
        <v>776</v>
      </c>
      <c r="Q81" s="46">
        <f>'3-Digit Lotto Table'!C781</f>
        <v>0</v>
      </c>
      <c r="R81" s="31">
        <v>876</v>
      </c>
      <c r="S81" s="46">
        <f>'3-Digit Lotto Table'!C881</f>
        <v>100</v>
      </c>
      <c r="T81" s="36">
        <v>976</v>
      </c>
      <c r="U81" s="48">
        <f>'3-Digit Lotto Table'!C981</f>
        <v>0</v>
      </c>
    </row>
    <row r="82" spans="2:21" x14ac:dyDescent="0.3">
      <c r="B82" s="32">
        <v>77</v>
      </c>
      <c r="C82" s="44">
        <f>'3-Digit Lotto Table'!C82</f>
        <v>0</v>
      </c>
      <c r="D82" s="33">
        <v>177</v>
      </c>
      <c r="E82" s="44">
        <f>'3-Digit Lotto Table'!C182</f>
        <v>300</v>
      </c>
      <c r="F82" s="33">
        <v>277</v>
      </c>
      <c r="G82" s="44">
        <f>'3-Digit Lotto Table'!C282</f>
        <v>0</v>
      </c>
      <c r="H82" s="33">
        <v>377</v>
      </c>
      <c r="I82" s="44">
        <f>'3-Digit Lotto Table'!C382</f>
        <v>0</v>
      </c>
      <c r="J82" s="33">
        <v>477</v>
      </c>
      <c r="K82" s="46">
        <f>'3-Digit Lotto Table'!C482</f>
        <v>0</v>
      </c>
      <c r="L82" s="31">
        <v>577</v>
      </c>
      <c r="M82" s="46">
        <f>'3-Digit Lotto Table'!C582</f>
        <v>0</v>
      </c>
      <c r="N82" s="31">
        <v>677</v>
      </c>
      <c r="O82" s="46">
        <f>'3-Digit Lotto Table'!C682</f>
        <v>0</v>
      </c>
      <c r="P82" s="31">
        <v>777</v>
      </c>
      <c r="Q82" s="46">
        <f>'3-Digit Lotto Table'!C782</f>
        <v>0</v>
      </c>
      <c r="R82" s="31">
        <v>877</v>
      </c>
      <c r="S82" s="46">
        <f>'3-Digit Lotto Table'!C882</f>
        <v>0</v>
      </c>
      <c r="T82" s="36">
        <v>977</v>
      </c>
      <c r="U82" s="48">
        <f>'3-Digit Lotto Table'!C982</f>
        <v>0</v>
      </c>
    </row>
    <row r="83" spans="2:21" x14ac:dyDescent="0.3">
      <c r="B83" s="32">
        <v>78</v>
      </c>
      <c r="C83" s="44">
        <f>'3-Digit Lotto Table'!C83</f>
        <v>0</v>
      </c>
      <c r="D83" s="33">
        <v>178</v>
      </c>
      <c r="E83" s="44">
        <f>'3-Digit Lotto Table'!C183</f>
        <v>50</v>
      </c>
      <c r="F83" s="33">
        <v>278</v>
      </c>
      <c r="G83" s="44">
        <f>'3-Digit Lotto Table'!C283</f>
        <v>50</v>
      </c>
      <c r="H83" s="33">
        <v>378</v>
      </c>
      <c r="I83" s="44">
        <f>'3-Digit Lotto Table'!C383</f>
        <v>50</v>
      </c>
      <c r="J83" s="33">
        <v>478</v>
      </c>
      <c r="K83" s="46">
        <f>'3-Digit Lotto Table'!C483</f>
        <v>100</v>
      </c>
      <c r="L83" s="31">
        <v>578</v>
      </c>
      <c r="M83" s="46">
        <f>'3-Digit Lotto Table'!C583</f>
        <v>50</v>
      </c>
      <c r="N83" s="31">
        <v>678</v>
      </c>
      <c r="O83" s="46">
        <f>'3-Digit Lotto Table'!C683</f>
        <v>100</v>
      </c>
      <c r="P83" s="31">
        <v>778</v>
      </c>
      <c r="Q83" s="46">
        <f>'3-Digit Lotto Table'!C783</f>
        <v>0</v>
      </c>
      <c r="R83" s="31">
        <v>878</v>
      </c>
      <c r="S83" s="46">
        <f>'3-Digit Lotto Table'!C883</f>
        <v>0</v>
      </c>
      <c r="T83" s="36">
        <v>978</v>
      </c>
      <c r="U83" s="48">
        <f>'3-Digit Lotto Table'!C983</f>
        <v>0</v>
      </c>
    </row>
    <row r="84" spans="2:21" x14ac:dyDescent="0.3">
      <c r="B84" s="32">
        <v>79</v>
      </c>
      <c r="C84" s="44">
        <f>'3-Digit Lotto Table'!C84</f>
        <v>50</v>
      </c>
      <c r="D84" s="33">
        <v>179</v>
      </c>
      <c r="E84" s="44">
        <f>'3-Digit Lotto Table'!C184</f>
        <v>0</v>
      </c>
      <c r="F84" s="33">
        <v>279</v>
      </c>
      <c r="G84" s="44">
        <f>'3-Digit Lotto Table'!C284</f>
        <v>0</v>
      </c>
      <c r="H84" s="33">
        <v>379</v>
      </c>
      <c r="I84" s="44">
        <f>'3-Digit Lotto Table'!C384</f>
        <v>50</v>
      </c>
      <c r="J84" s="33">
        <v>479</v>
      </c>
      <c r="K84" s="46">
        <f>'3-Digit Lotto Table'!C484</f>
        <v>100</v>
      </c>
      <c r="L84" s="31">
        <v>579</v>
      </c>
      <c r="M84" s="46">
        <f>'3-Digit Lotto Table'!C584</f>
        <v>0</v>
      </c>
      <c r="N84" s="31">
        <v>679</v>
      </c>
      <c r="O84" s="46">
        <f>'3-Digit Lotto Table'!C684</f>
        <v>0</v>
      </c>
      <c r="P84" s="31">
        <v>779</v>
      </c>
      <c r="Q84" s="46">
        <f>'3-Digit Lotto Table'!C784</f>
        <v>0</v>
      </c>
      <c r="R84" s="31">
        <v>879</v>
      </c>
      <c r="S84" s="46">
        <f>'3-Digit Lotto Table'!C884</f>
        <v>0</v>
      </c>
      <c r="T84" s="36">
        <v>979</v>
      </c>
      <c r="U84" s="48">
        <f>'3-Digit Lotto Table'!C984</f>
        <v>0</v>
      </c>
    </row>
    <row r="85" spans="2:21" x14ac:dyDescent="0.3">
      <c r="B85" s="32">
        <v>80</v>
      </c>
      <c r="C85" s="44">
        <f>'3-Digit Lotto Table'!C85</f>
        <v>0</v>
      </c>
      <c r="D85" s="33">
        <v>180</v>
      </c>
      <c r="E85" s="44">
        <f>'3-Digit Lotto Table'!C185</f>
        <v>0</v>
      </c>
      <c r="F85" s="33">
        <v>280</v>
      </c>
      <c r="G85" s="44">
        <f>'3-Digit Lotto Table'!C285</f>
        <v>0</v>
      </c>
      <c r="H85" s="33">
        <v>380</v>
      </c>
      <c r="I85" s="44">
        <f>'3-Digit Lotto Table'!C385</f>
        <v>0</v>
      </c>
      <c r="J85" s="33">
        <v>480</v>
      </c>
      <c r="K85" s="46">
        <f>'3-Digit Lotto Table'!C485</f>
        <v>0</v>
      </c>
      <c r="L85" s="31">
        <v>580</v>
      </c>
      <c r="M85" s="46">
        <f>'3-Digit Lotto Table'!C585</f>
        <v>0</v>
      </c>
      <c r="N85" s="31">
        <v>680</v>
      </c>
      <c r="O85" s="46">
        <f>'3-Digit Lotto Table'!C685</f>
        <v>0</v>
      </c>
      <c r="P85" s="31">
        <v>780</v>
      </c>
      <c r="Q85" s="46">
        <f>'3-Digit Lotto Table'!C785</f>
        <v>0</v>
      </c>
      <c r="R85" s="31">
        <v>880</v>
      </c>
      <c r="S85" s="46">
        <f>'3-Digit Lotto Table'!C885</f>
        <v>0</v>
      </c>
      <c r="T85" s="36">
        <v>980</v>
      </c>
      <c r="U85" s="48">
        <f>'3-Digit Lotto Table'!C985</f>
        <v>0</v>
      </c>
    </row>
    <row r="86" spans="2:21" x14ac:dyDescent="0.3">
      <c r="B86" s="32">
        <v>81</v>
      </c>
      <c r="C86" s="44">
        <f>'3-Digit Lotto Table'!C86</f>
        <v>0</v>
      </c>
      <c r="D86" s="33">
        <v>181</v>
      </c>
      <c r="E86" s="44">
        <f>'3-Digit Lotto Table'!C186</f>
        <v>0</v>
      </c>
      <c r="F86" s="33">
        <v>281</v>
      </c>
      <c r="G86" s="44">
        <f>'3-Digit Lotto Table'!C286</f>
        <v>0</v>
      </c>
      <c r="H86" s="33">
        <v>381</v>
      </c>
      <c r="I86" s="44">
        <f>'3-Digit Lotto Table'!C386</f>
        <v>0</v>
      </c>
      <c r="J86" s="33">
        <v>481</v>
      </c>
      <c r="K86" s="46">
        <f>'3-Digit Lotto Table'!C486</f>
        <v>0</v>
      </c>
      <c r="L86" s="31">
        <v>581</v>
      </c>
      <c r="M86" s="46">
        <f>'3-Digit Lotto Table'!C586</f>
        <v>50</v>
      </c>
      <c r="N86" s="31">
        <v>681</v>
      </c>
      <c r="O86" s="46">
        <f>'3-Digit Lotto Table'!C686</f>
        <v>0</v>
      </c>
      <c r="P86" s="31">
        <v>781</v>
      </c>
      <c r="Q86" s="46">
        <f>'3-Digit Lotto Table'!C786</f>
        <v>0</v>
      </c>
      <c r="R86" s="31">
        <v>881</v>
      </c>
      <c r="S86" s="46">
        <f>'3-Digit Lotto Table'!C886</f>
        <v>0</v>
      </c>
      <c r="T86" s="36">
        <v>981</v>
      </c>
      <c r="U86" s="48">
        <f>'3-Digit Lotto Table'!C986</f>
        <v>20</v>
      </c>
    </row>
    <row r="87" spans="2:21" x14ac:dyDescent="0.3">
      <c r="B87" s="32">
        <v>82</v>
      </c>
      <c r="C87" s="44">
        <f>'3-Digit Lotto Table'!C87</f>
        <v>0</v>
      </c>
      <c r="D87" s="33">
        <v>182</v>
      </c>
      <c r="E87" s="44">
        <f>'3-Digit Lotto Table'!C187</f>
        <v>0</v>
      </c>
      <c r="F87" s="33">
        <v>282</v>
      </c>
      <c r="G87" s="44">
        <f>'3-Digit Lotto Table'!C287</f>
        <v>0</v>
      </c>
      <c r="H87" s="33">
        <v>382</v>
      </c>
      <c r="I87" s="44">
        <f>'3-Digit Lotto Table'!C387</f>
        <v>0</v>
      </c>
      <c r="J87" s="33">
        <v>482</v>
      </c>
      <c r="K87" s="46">
        <f>'3-Digit Lotto Table'!C487</f>
        <v>0</v>
      </c>
      <c r="L87" s="31">
        <v>582</v>
      </c>
      <c r="M87" s="46">
        <f>'3-Digit Lotto Table'!C587</f>
        <v>0</v>
      </c>
      <c r="N87" s="31">
        <v>682</v>
      </c>
      <c r="O87" s="46">
        <f>'3-Digit Lotto Table'!C687</f>
        <v>0</v>
      </c>
      <c r="P87" s="31">
        <v>782</v>
      </c>
      <c r="Q87" s="46">
        <f>'3-Digit Lotto Table'!C787</f>
        <v>0</v>
      </c>
      <c r="R87" s="31">
        <v>882</v>
      </c>
      <c r="S87" s="46">
        <f>'3-Digit Lotto Table'!C887</f>
        <v>0</v>
      </c>
      <c r="T87" s="36">
        <v>982</v>
      </c>
      <c r="U87" s="48">
        <f>'3-Digit Lotto Table'!C987</f>
        <v>0</v>
      </c>
    </row>
    <row r="88" spans="2:21" x14ac:dyDescent="0.3">
      <c r="B88" s="32">
        <v>83</v>
      </c>
      <c r="C88" s="44">
        <f>'3-Digit Lotto Table'!C88</f>
        <v>0</v>
      </c>
      <c r="D88" s="33">
        <v>183</v>
      </c>
      <c r="E88" s="44">
        <f>'3-Digit Lotto Table'!C188</f>
        <v>0</v>
      </c>
      <c r="F88" s="33">
        <v>283</v>
      </c>
      <c r="G88" s="44">
        <f>'3-Digit Lotto Table'!C288</f>
        <v>0</v>
      </c>
      <c r="H88" s="33">
        <v>383</v>
      </c>
      <c r="I88" s="44">
        <f>'3-Digit Lotto Table'!C388</f>
        <v>0</v>
      </c>
      <c r="J88" s="33">
        <v>483</v>
      </c>
      <c r="K88" s="46">
        <f>'3-Digit Lotto Table'!C488</f>
        <v>0</v>
      </c>
      <c r="L88" s="31">
        <v>583</v>
      </c>
      <c r="M88" s="46">
        <f>'3-Digit Lotto Table'!C588</f>
        <v>0</v>
      </c>
      <c r="N88" s="31">
        <v>683</v>
      </c>
      <c r="O88" s="46">
        <f>'3-Digit Lotto Table'!C688</f>
        <v>0</v>
      </c>
      <c r="P88" s="31">
        <v>783</v>
      </c>
      <c r="Q88" s="46">
        <f>'3-Digit Lotto Table'!C788</f>
        <v>50</v>
      </c>
      <c r="R88" s="31">
        <v>883</v>
      </c>
      <c r="S88" s="46">
        <f>'3-Digit Lotto Table'!C888</f>
        <v>0</v>
      </c>
      <c r="T88" s="36">
        <v>983</v>
      </c>
      <c r="U88" s="48">
        <f>'3-Digit Lotto Table'!C988</f>
        <v>0</v>
      </c>
    </row>
    <row r="89" spans="2:21" x14ac:dyDescent="0.3">
      <c r="B89" s="32">
        <v>84</v>
      </c>
      <c r="C89" s="44">
        <f>'3-Digit Lotto Table'!C89</f>
        <v>0</v>
      </c>
      <c r="D89" s="33">
        <v>184</v>
      </c>
      <c r="E89" s="44">
        <f>'3-Digit Lotto Table'!C189</f>
        <v>0</v>
      </c>
      <c r="F89" s="33">
        <v>284</v>
      </c>
      <c r="G89" s="44">
        <f>'3-Digit Lotto Table'!C289</f>
        <v>0</v>
      </c>
      <c r="H89" s="33">
        <v>384</v>
      </c>
      <c r="I89" s="44">
        <f>'3-Digit Lotto Table'!C389</f>
        <v>0</v>
      </c>
      <c r="J89" s="33">
        <v>484</v>
      </c>
      <c r="K89" s="46">
        <f>'3-Digit Lotto Table'!C489</f>
        <v>0</v>
      </c>
      <c r="L89" s="31">
        <v>584</v>
      </c>
      <c r="M89" s="46">
        <f>'3-Digit Lotto Table'!C589</f>
        <v>100</v>
      </c>
      <c r="N89" s="31">
        <v>684</v>
      </c>
      <c r="O89" s="46">
        <f>'3-Digit Lotto Table'!C689</f>
        <v>0</v>
      </c>
      <c r="P89" s="31">
        <v>784</v>
      </c>
      <c r="Q89" s="46">
        <f>'3-Digit Lotto Table'!C789</f>
        <v>0</v>
      </c>
      <c r="R89" s="31">
        <v>884</v>
      </c>
      <c r="S89" s="46">
        <f>'3-Digit Lotto Table'!C889</f>
        <v>0</v>
      </c>
      <c r="T89" s="36">
        <v>984</v>
      </c>
      <c r="U89" s="48">
        <f>'3-Digit Lotto Table'!C989</f>
        <v>0</v>
      </c>
    </row>
    <row r="90" spans="2:21" x14ac:dyDescent="0.3">
      <c r="B90" s="32">
        <v>85</v>
      </c>
      <c r="C90" s="44">
        <f>'3-Digit Lotto Table'!C90</f>
        <v>0</v>
      </c>
      <c r="D90" s="33">
        <v>185</v>
      </c>
      <c r="E90" s="44">
        <f>'3-Digit Lotto Table'!C190</f>
        <v>50</v>
      </c>
      <c r="F90" s="33">
        <v>285</v>
      </c>
      <c r="G90" s="44">
        <f>'3-Digit Lotto Table'!C290</f>
        <v>0</v>
      </c>
      <c r="H90" s="33">
        <v>385</v>
      </c>
      <c r="I90" s="44">
        <f>'3-Digit Lotto Table'!C390</f>
        <v>0</v>
      </c>
      <c r="J90" s="33">
        <v>485</v>
      </c>
      <c r="K90" s="46">
        <f>'3-Digit Lotto Table'!C490</f>
        <v>0</v>
      </c>
      <c r="L90" s="31">
        <v>585</v>
      </c>
      <c r="M90" s="46">
        <f>'3-Digit Lotto Table'!C590</f>
        <v>0</v>
      </c>
      <c r="N90" s="31">
        <v>685</v>
      </c>
      <c r="O90" s="46">
        <f>'3-Digit Lotto Table'!C690</f>
        <v>50</v>
      </c>
      <c r="P90" s="31">
        <v>785</v>
      </c>
      <c r="Q90" s="46">
        <f>'3-Digit Lotto Table'!C790</f>
        <v>0</v>
      </c>
      <c r="R90" s="31">
        <v>885</v>
      </c>
      <c r="S90" s="46">
        <f>'3-Digit Lotto Table'!C890</f>
        <v>0</v>
      </c>
      <c r="T90" s="36">
        <v>985</v>
      </c>
      <c r="U90" s="48">
        <f>'3-Digit Lotto Table'!C990</f>
        <v>250</v>
      </c>
    </row>
    <row r="91" spans="2:21" x14ac:dyDescent="0.3">
      <c r="B91" s="32">
        <v>86</v>
      </c>
      <c r="C91" s="44">
        <f>'3-Digit Lotto Table'!C91</f>
        <v>0</v>
      </c>
      <c r="D91" s="33">
        <v>186</v>
      </c>
      <c r="E91" s="44">
        <f>'3-Digit Lotto Table'!C191</f>
        <v>0</v>
      </c>
      <c r="F91" s="33">
        <v>286</v>
      </c>
      <c r="G91" s="44">
        <f>'3-Digit Lotto Table'!C291</f>
        <v>100</v>
      </c>
      <c r="H91" s="33">
        <v>386</v>
      </c>
      <c r="I91" s="44">
        <f>'3-Digit Lotto Table'!C391</f>
        <v>0</v>
      </c>
      <c r="J91" s="33">
        <v>486</v>
      </c>
      <c r="K91" s="46">
        <f>'3-Digit Lotto Table'!C491</f>
        <v>0</v>
      </c>
      <c r="L91" s="31">
        <v>586</v>
      </c>
      <c r="M91" s="46">
        <f>'3-Digit Lotto Table'!C591</f>
        <v>50</v>
      </c>
      <c r="N91" s="31">
        <v>686</v>
      </c>
      <c r="O91" s="46">
        <f>'3-Digit Lotto Table'!C691</f>
        <v>20</v>
      </c>
      <c r="P91" s="31">
        <v>786</v>
      </c>
      <c r="Q91" s="46">
        <f>'3-Digit Lotto Table'!C791</f>
        <v>100</v>
      </c>
      <c r="R91" s="31">
        <v>886</v>
      </c>
      <c r="S91" s="46">
        <f>'3-Digit Lotto Table'!C891</f>
        <v>0</v>
      </c>
      <c r="T91" s="36">
        <v>986</v>
      </c>
      <c r="U91" s="48">
        <f>'3-Digit Lotto Table'!C991</f>
        <v>0</v>
      </c>
    </row>
    <row r="92" spans="2:21" x14ac:dyDescent="0.3">
      <c r="B92" s="32">
        <v>87</v>
      </c>
      <c r="C92" s="44">
        <f>'3-Digit Lotto Table'!C92</f>
        <v>0</v>
      </c>
      <c r="D92" s="33">
        <v>187</v>
      </c>
      <c r="E92" s="44">
        <f>'3-Digit Lotto Table'!C192</f>
        <v>0</v>
      </c>
      <c r="F92" s="33">
        <v>287</v>
      </c>
      <c r="G92" s="44">
        <f>'3-Digit Lotto Table'!C292</f>
        <v>0</v>
      </c>
      <c r="H92" s="33">
        <v>387</v>
      </c>
      <c r="I92" s="44">
        <f>'3-Digit Lotto Table'!C392</f>
        <v>50</v>
      </c>
      <c r="J92" s="33">
        <v>487</v>
      </c>
      <c r="K92" s="46">
        <f>'3-Digit Lotto Table'!C492</f>
        <v>0</v>
      </c>
      <c r="L92" s="31">
        <v>587</v>
      </c>
      <c r="M92" s="46">
        <f>'3-Digit Lotto Table'!C592</f>
        <v>200</v>
      </c>
      <c r="N92" s="31">
        <v>687</v>
      </c>
      <c r="O92" s="46">
        <f>'3-Digit Lotto Table'!C692</f>
        <v>20</v>
      </c>
      <c r="P92" s="31">
        <v>787</v>
      </c>
      <c r="Q92" s="46">
        <f>'3-Digit Lotto Table'!C792</f>
        <v>0</v>
      </c>
      <c r="R92" s="31">
        <v>887</v>
      </c>
      <c r="S92" s="46">
        <f>'3-Digit Lotto Table'!C892</f>
        <v>0</v>
      </c>
      <c r="T92" s="36">
        <v>987</v>
      </c>
      <c r="U92" s="48">
        <f>'3-Digit Lotto Table'!C992</f>
        <v>0</v>
      </c>
    </row>
    <row r="93" spans="2:21" x14ac:dyDescent="0.3">
      <c r="B93" s="32">
        <v>88</v>
      </c>
      <c r="C93" s="44">
        <f>'3-Digit Lotto Table'!C93</f>
        <v>0</v>
      </c>
      <c r="D93" s="33">
        <v>188</v>
      </c>
      <c r="E93" s="44">
        <f>'3-Digit Lotto Table'!C193</f>
        <v>0</v>
      </c>
      <c r="F93" s="33">
        <v>288</v>
      </c>
      <c r="G93" s="44">
        <f>'3-Digit Lotto Table'!C293</f>
        <v>0</v>
      </c>
      <c r="H93" s="33">
        <v>388</v>
      </c>
      <c r="I93" s="44">
        <f>'3-Digit Lotto Table'!C393</f>
        <v>0</v>
      </c>
      <c r="J93" s="33">
        <v>488</v>
      </c>
      <c r="K93" s="46">
        <f>'3-Digit Lotto Table'!C493</f>
        <v>0</v>
      </c>
      <c r="L93" s="31">
        <v>588</v>
      </c>
      <c r="M93" s="46">
        <f>'3-Digit Lotto Table'!C593</f>
        <v>0</v>
      </c>
      <c r="N93" s="31">
        <v>688</v>
      </c>
      <c r="O93" s="46">
        <f>'3-Digit Lotto Table'!C693</f>
        <v>0</v>
      </c>
      <c r="P93" s="31">
        <v>788</v>
      </c>
      <c r="Q93" s="46">
        <f>'3-Digit Lotto Table'!C793</f>
        <v>0</v>
      </c>
      <c r="R93" s="31">
        <v>888</v>
      </c>
      <c r="S93" s="46">
        <f>'3-Digit Lotto Table'!C893</f>
        <v>0</v>
      </c>
      <c r="T93" s="36">
        <v>988</v>
      </c>
      <c r="U93" s="48">
        <f>'3-Digit Lotto Table'!C993</f>
        <v>0</v>
      </c>
    </row>
    <row r="94" spans="2:21" x14ac:dyDescent="0.3">
      <c r="B94" s="32">
        <v>89</v>
      </c>
      <c r="C94" s="44">
        <f>'3-Digit Lotto Table'!C94</f>
        <v>0</v>
      </c>
      <c r="D94" s="33">
        <v>189</v>
      </c>
      <c r="E94" s="44">
        <f>'3-Digit Lotto Table'!C194</f>
        <v>0</v>
      </c>
      <c r="F94" s="33">
        <v>289</v>
      </c>
      <c r="G94" s="44">
        <f>'3-Digit Lotto Table'!C294</f>
        <v>20</v>
      </c>
      <c r="H94" s="33">
        <v>389</v>
      </c>
      <c r="I94" s="44">
        <f>'3-Digit Lotto Table'!C394</f>
        <v>0</v>
      </c>
      <c r="J94" s="33">
        <v>489</v>
      </c>
      <c r="K94" s="46">
        <f>'3-Digit Lotto Table'!C494</f>
        <v>0</v>
      </c>
      <c r="L94" s="31">
        <v>589</v>
      </c>
      <c r="M94" s="46">
        <f>'3-Digit Lotto Table'!C594</f>
        <v>50</v>
      </c>
      <c r="N94" s="31">
        <v>689</v>
      </c>
      <c r="O94" s="46">
        <f>'3-Digit Lotto Table'!C694</f>
        <v>0</v>
      </c>
      <c r="P94" s="31">
        <v>789</v>
      </c>
      <c r="Q94" s="46">
        <f>'3-Digit Lotto Table'!C794</f>
        <v>0</v>
      </c>
      <c r="R94" s="31">
        <v>889</v>
      </c>
      <c r="S94" s="46">
        <f>'3-Digit Lotto Table'!C894</f>
        <v>0</v>
      </c>
      <c r="T94" s="36">
        <v>989</v>
      </c>
      <c r="U94" s="48">
        <f>'3-Digit Lotto Table'!C994</f>
        <v>0</v>
      </c>
    </row>
    <row r="95" spans="2:21" x14ac:dyDescent="0.3">
      <c r="B95" s="32">
        <v>90</v>
      </c>
      <c r="C95" s="44">
        <f>'3-Digit Lotto Table'!C95</f>
        <v>50</v>
      </c>
      <c r="D95" s="33">
        <v>190</v>
      </c>
      <c r="E95" s="44">
        <f>'3-Digit Lotto Table'!C195</f>
        <v>0</v>
      </c>
      <c r="F95" s="33">
        <v>290</v>
      </c>
      <c r="G95" s="44">
        <f>'3-Digit Lotto Table'!C295</f>
        <v>50</v>
      </c>
      <c r="H95" s="33">
        <v>390</v>
      </c>
      <c r="I95" s="44">
        <f>'3-Digit Lotto Table'!C395</f>
        <v>0</v>
      </c>
      <c r="J95" s="33">
        <v>490</v>
      </c>
      <c r="K95" s="46">
        <f>'3-Digit Lotto Table'!C495</f>
        <v>0</v>
      </c>
      <c r="L95" s="31">
        <v>590</v>
      </c>
      <c r="M95" s="46">
        <f>'3-Digit Lotto Table'!C595</f>
        <v>50</v>
      </c>
      <c r="N95" s="31">
        <v>690</v>
      </c>
      <c r="O95" s="46">
        <f>'3-Digit Lotto Table'!C695</f>
        <v>0</v>
      </c>
      <c r="P95" s="31">
        <v>790</v>
      </c>
      <c r="Q95" s="46">
        <f>'3-Digit Lotto Table'!C795</f>
        <v>0</v>
      </c>
      <c r="R95" s="31">
        <v>890</v>
      </c>
      <c r="S95" s="46">
        <f>'3-Digit Lotto Table'!C895</f>
        <v>0</v>
      </c>
      <c r="T95" s="36">
        <v>990</v>
      </c>
      <c r="U95" s="48">
        <f>'3-Digit Lotto Table'!C995</f>
        <v>0</v>
      </c>
    </row>
    <row r="96" spans="2:21" x14ac:dyDescent="0.3">
      <c r="B96" s="32">
        <v>91</v>
      </c>
      <c r="C96" s="44">
        <f>'3-Digit Lotto Table'!C96</f>
        <v>100</v>
      </c>
      <c r="D96" s="33">
        <v>191</v>
      </c>
      <c r="E96" s="44">
        <f>'3-Digit Lotto Table'!C196</f>
        <v>0</v>
      </c>
      <c r="F96" s="33">
        <v>291</v>
      </c>
      <c r="G96" s="44">
        <f>'3-Digit Lotto Table'!C296</f>
        <v>50</v>
      </c>
      <c r="H96" s="33">
        <v>391</v>
      </c>
      <c r="I96" s="44">
        <f>'3-Digit Lotto Table'!C396</f>
        <v>100</v>
      </c>
      <c r="J96" s="33">
        <v>491</v>
      </c>
      <c r="K96" s="46">
        <f>'3-Digit Lotto Table'!C496</f>
        <v>0</v>
      </c>
      <c r="L96" s="31">
        <v>591</v>
      </c>
      <c r="M96" s="46">
        <f>'3-Digit Lotto Table'!C596</f>
        <v>0</v>
      </c>
      <c r="N96" s="31">
        <v>691</v>
      </c>
      <c r="O96" s="46">
        <f>'3-Digit Lotto Table'!C696</f>
        <v>0</v>
      </c>
      <c r="P96" s="31">
        <v>791</v>
      </c>
      <c r="Q96" s="46">
        <f>'3-Digit Lotto Table'!C796</f>
        <v>100</v>
      </c>
      <c r="R96" s="31">
        <v>891</v>
      </c>
      <c r="S96" s="46">
        <f>'3-Digit Lotto Table'!C896</f>
        <v>100</v>
      </c>
      <c r="T96" s="36">
        <v>991</v>
      </c>
      <c r="U96" s="48">
        <f>'3-Digit Lotto Table'!C996</f>
        <v>0</v>
      </c>
    </row>
    <row r="97" spans="2:21" x14ac:dyDescent="0.3">
      <c r="B97" s="32">
        <v>92</v>
      </c>
      <c r="C97" s="44">
        <f>'3-Digit Lotto Table'!C97</f>
        <v>0</v>
      </c>
      <c r="D97" s="33">
        <v>192</v>
      </c>
      <c r="E97" s="44">
        <f>'3-Digit Lotto Table'!C197</f>
        <v>0</v>
      </c>
      <c r="F97" s="33">
        <v>292</v>
      </c>
      <c r="G97" s="44">
        <f>'3-Digit Lotto Table'!C297</f>
        <v>0</v>
      </c>
      <c r="H97" s="33">
        <v>392</v>
      </c>
      <c r="I97" s="44">
        <f>'3-Digit Lotto Table'!C397</f>
        <v>0</v>
      </c>
      <c r="J97" s="33">
        <v>492</v>
      </c>
      <c r="K97" s="46">
        <f>'3-Digit Lotto Table'!C497</f>
        <v>0</v>
      </c>
      <c r="L97" s="31">
        <v>592</v>
      </c>
      <c r="M97" s="46">
        <f>'3-Digit Lotto Table'!C597</f>
        <v>0</v>
      </c>
      <c r="N97" s="31">
        <v>692</v>
      </c>
      <c r="O97" s="46">
        <f>'3-Digit Lotto Table'!C697</f>
        <v>0</v>
      </c>
      <c r="P97" s="31">
        <v>792</v>
      </c>
      <c r="Q97" s="46">
        <f>'3-Digit Lotto Table'!C797</f>
        <v>0</v>
      </c>
      <c r="R97" s="31">
        <v>892</v>
      </c>
      <c r="S97" s="46">
        <f>'3-Digit Lotto Table'!C897</f>
        <v>20</v>
      </c>
      <c r="T97" s="36">
        <v>992</v>
      </c>
      <c r="U97" s="48">
        <f>'3-Digit Lotto Table'!C997</f>
        <v>0</v>
      </c>
    </row>
    <row r="98" spans="2:21" x14ac:dyDescent="0.3">
      <c r="B98" s="32">
        <v>93</v>
      </c>
      <c r="C98" s="44">
        <f>'3-Digit Lotto Table'!C98</f>
        <v>100</v>
      </c>
      <c r="D98" s="33">
        <v>193</v>
      </c>
      <c r="E98" s="44">
        <f>'3-Digit Lotto Table'!C198</f>
        <v>0</v>
      </c>
      <c r="F98" s="33">
        <v>293</v>
      </c>
      <c r="G98" s="44">
        <f>'3-Digit Lotto Table'!C298</f>
        <v>0</v>
      </c>
      <c r="H98" s="33">
        <v>393</v>
      </c>
      <c r="I98" s="44">
        <f>'3-Digit Lotto Table'!C398</f>
        <v>0</v>
      </c>
      <c r="J98" s="33">
        <v>493</v>
      </c>
      <c r="K98" s="46">
        <f>'3-Digit Lotto Table'!C498</f>
        <v>0</v>
      </c>
      <c r="L98" s="31">
        <v>593</v>
      </c>
      <c r="M98" s="46">
        <f>'3-Digit Lotto Table'!C598</f>
        <v>0</v>
      </c>
      <c r="N98" s="31">
        <v>693</v>
      </c>
      <c r="O98" s="46">
        <f>'3-Digit Lotto Table'!C698</f>
        <v>0</v>
      </c>
      <c r="P98" s="31">
        <v>793</v>
      </c>
      <c r="Q98" s="46">
        <f>'3-Digit Lotto Table'!C798</f>
        <v>50</v>
      </c>
      <c r="R98" s="31">
        <v>893</v>
      </c>
      <c r="S98" s="46">
        <f>'3-Digit Lotto Table'!C898</f>
        <v>0</v>
      </c>
      <c r="T98" s="36">
        <v>993</v>
      </c>
      <c r="U98" s="48">
        <f>'3-Digit Lotto Table'!C998</f>
        <v>0</v>
      </c>
    </row>
    <row r="99" spans="2:21" x14ac:dyDescent="0.3">
      <c r="B99" s="32">
        <v>94</v>
      </c>
      <c r="C99" s="44">
        <f>'3-Digit Lotto Table'!C99</f>
        <v>0</v>
      </c>
      <c r="D99" s="33">
        <v>194</v>
      </c>
      <c r="E99" s="44">
        <f>'3-Digit Lotto Table'!C199</f>
        <v>0</v>
      </c>
      <c r="F99" s="33">
        <v>294</v>
      </c>
      <c r="G99" s="44">
        <f>'3-Digit Lotto Table'!C299</f>
        <v>0</v>
      </c>
      <c r="H99" s="33">
        <v>394</v>
      </c>
      <c r="I99" s="44">
        <f>'3-Digit Lotto Table'!C399</f>
        <v>0</v>
      </c>
      <c r="J99" s="33">
        <v>494</v>
      </c>
      <c r="K99" s="46">
        <f>'3-Digit Lotto Table'!C499</f>
        <v>0</v>
      </c>
      <c r="L99" s="31">
        <v>594</v>
      </c>
      <c r="M99" s="46">
        <f>'3-Digit Lotto Table'!C599</f>
        <v>0</v>
      </c>
      <c r="N99" s="31">
        <v>694</v>
      </c>
      <c r="O99" s="46">
        <f>'3-Digit Lotto Table'!C699</f>
        <v>0</v>
      </c>
      <c r="P99" s="31">
        <v>794</v>
      </c>
      <c r="Q99" s="46">
        <f>'3-Digit Lotto Table'!C799</f>
        <v>0</v>
      </c>
      <c r="R99" s="31">
        <v>894</v>
      </c>
      <c r="S99" s="46">
        <f>'3-Digit Lotto Table'!C899</f>
        <v>0</v>
      </c>
      <c r="T99" s="36">
        <v>994</v>
      </c>
      <c r="U99" s="48">
        <f>'3-Digit Lotto Table'!C999</f>
        <v>0</v>
      </c>
    </row>
    <row r="100" spans="2:21" x14ac:dyDescent="0.3">
      <c r="B100" s="32">
        <v>95</v>
      </c>
      <c r="C100" s="44">
        <f>'3-Digit Lotto Table'!C100</f>
        <v>50</v>
      </c>
      <c r="D100" s="33">
        <v>195</v>
      </c>
      <c r="E100" s="44">
        <f>'3-Digit Lotto Table'!C200</f>
        <v>0</v>
      </c>
      <c r="F100" s="33">
        <v>295</v>
      </c>
      <c r="G100" s="44">
        <f>'3-Digit Lotto Table'!C300</f>
        <v>0</v>
      </c>
      <c r="H100" s="33">
        <v>395</v>
      </c>
      <c r="I100" s="44">
        <f>'3-Digit Lotto Table'!C400</f>
        <v>0</v>
      </c>
      <c r="J100" s="33">
        <v>495</v>
      </c>
      <c r="K100" s="46">
        <f>'3-Digit Lotto Table'!C500</f>
        <v>0</v>
      </c>
      <c r="L100" s="31">
        <v>595</v>
      </c>
      <c r="M100" s="46">
        <f>'3-Digit Lotto Table'!C600</f>
        <v>50</v>
      </c>
      <c r="N100" s="31">
        <v>695</v>
      </c>
      <c r="O100" s="46">
        <f>'3-Digit Lotto Table'!C700</f>
        <v>0</v>
      </c>
      <c r="P100" s="31">
        <v>795</v>
      </c>
      <c r="Q100" s="46">
        <f>'3-Digit Lotto Table'!C800</f>
        <v>0</v>
      </c>
      <c r="R100" s="31">
        <v>895</v>
      </c>
      <c r="S100" s="46">
        <f>'3-Digit Lotto Table'!C900</f>
        <v>50</v>
      </c>
      <c r="T100" s="36">
        <v>995</v>
      </c>
      <c r="U100" s="48">
        <f>'3-Digit Lotto Table'!C1000</f>
        <v>0</v>
      </c>
    </row>
    <row r="101" spans="2:21" x14ac:dyDescent="0.3">
      <c r="B101" s="32">
        <v>96</v>
      </c>
      <c r="C101" s="44">
        <f>'3-Digit Lotto Table'!C101</f>
        <v>0</v>
      </c>
      <c r="D101" s="33">
        <v>196</v>
      </c>
      <c r="E101" s="44">
        <f>'3-Digit Lotto Table'!C201</f>
        <v>0</v>
      </c>
      <c r="F101" s="33">
        <v>296</v>
      </c>
      <c r="G101" s="44">
        <f>'3-Digit Lotto Table'!C301</f>
        <v>0</v>
      </c>
      <c r="H101" s="33">
        <v>396</v>
      </c>
      <c r="I101" s="44">
        <f>'3-Digit Lotto Table'!C401</f>
        <v>50</v>
      </c>
      <c r="J101" s="33">
        <v>496</v>
      </c>
      <c r="K101" s="46">
        <f>'3-Digit Lotto Table'!C501</f>
        <v>0</v>
      </c>
      <c r="L101" s="31">
        <v>596</v>
      </c>
      <c r="M101" s="46">
        <f>'3-Digit Lotto Table'!C601</f>
        <v>0</v>
      </c>
      <c r="N101" s="31">
        <v>696</v>
      </c>
      <c r="O101" s="46">
        <f>'3-Digit Lotto Table'!C701</f>
        <v>0</v>
      </c>
      <c r="P101" s="31">
        <v>796</v>
      </c>
      <c r="Q101" s="46">
        <f>'3-Digit Lotto Table'!C801</f>
        <v>0</v>
      </c>
      <c r="R101" s="31">
        <v>896</v>
      </c>
      <c r="S101" s="46">
        <f>'3-Digit Lotto Table'!C901</f>
        <v>0</v>
      </c>
      <c r="T101" s="36">
        <v>996</v>
      </c>
      <c r="U101" s="48">
        <f>'3-Digit Lotto Table'!C1001</f>
        <v>0</v>
      </c>
    </row>
    <row r="102" spans="2:21" x14ac:dyDescent="0.3">
      <c r="B102" s="32">
        <v>97</v>
      </c>
      <c r="C102" s="44">
        <f>'3-Digit Lotto Table'!C102</f>
        <v>0</v>
      </c>
      <c r="D102" s="33">
        <v>197</v>
      </c>
      <c r="E102" s="44">
        <f>'3-Digit Lotto Table'!C202</f>
        <v>0</v>
      </c>
      <c r="F102" s="33">
        <v>297</v>
      </c>
      <c r="G102" s="44">
        <f>'3-Digit Lotto Table'!C302</f>
        <v>0</v>
      </c>
      <c r="H102" s="33">
        <v>397</v>
      </c>
      <c r="I102" s="44">
        <f>'3-Digit Lotto Table'!C402</f>
        <v>50</v>
      </c>
      <c r="J102" s="33">
        <v>497</v>
      </c>
      <c r="K102" s="46">
        <f>'3-Digit Lotto Table'!C502</f>
        <v>0</v>
      </c>
      <c r="L102" s="31">
        <v>597</v>
      </c>
      <c r="M102" s="46">
        <f>'3-Digit Lotto Table'!C602</f>
        <v>0</v>
      </c>
      <c r="N102" s="31">
        <v>697</v>
      </c>
      <c r="O102" s="46">
        <f>'3-Digit Lotto Table'!C702</f>
        <v>0</v>
      </c>
      <c r="P102" s="31">
        <v>797</v>
      </c>
      <c r="Q102" s="46">
        <f>'3-Digit Lotto Table'!C802</f>
        <v>0</v>
      </c>
      <c r="R102" s="31">
        <v>897</v>
      </c>
      <c r="S102" s="46">
        <f>'3-Digit Lotto Table'!C902</f>
        <v>0</v>
      </c>
      <c r="T102" s="36">
        <v>997</v>
      </c>
      <c r="U102" s="48">
        <f>'3-Digit Lotto Table'!C1002</f>
        <v>0</v>
      </c>
    </row>
    <row r="103" spans="2:21" x14ac:dyDescent="0.3">
      <c r="B103" s="32">
        <v>98</v>
      </c>
      <c r="C103" s="44">
        <f>'3-Digit Lotto Table'!C103</f>
        <v>0</v>
      </c>
      <c r="D103" s="33">
        <v>198</v>
      </c>
      <c r="E103" s="44">
        <f>'3-Digit Lotto Table'!C203</f>
        <v>0</v>
      </c>
      <c r="F103" s="33">
        <v>298</v>
      </c>
      <c r="G103" s="44">
        <f>'3-Digit Lotto Table'!C303</f>
        <v>0</v>
      </c>
      <c r="H103" s="33">
        <v>398</v>
      </c>
      <c r="I103" s="44">
        <f>'3-Digit Lotto Table'!C403</f>
        <v>0</v>
      </c>
      <c r="J103" s="33">
        <v>498</v>
      </c>
      <c r="K103" s="46">
        <f>'3-Digit Lotto Table'!C503</f>
        <v>0</v>
      </c>
      <c r="L103" s="31">
        <v>598</v>
      </c>
      <c r="M103" s="46">
        <f>'3-Digit Lotto Table'!C603</f>
        <v>150</v>
      </c>
      <c r="N103" s="31">
        <v>698</v>
      </c>
      <c r="O103" s="46">
        <f>'3-Digit Lotto Table'!C703</f>
        <v>0</v>
      </c>
      <c r="P103" s="31">
        <v>798</v>
      </c>
      <c r="Q103" s="46">
        <f>'3-Digit Lotto Table'!C803</f>
        <v>0</v>
      </c>
      <c r="R103" s="31">
        <v>898</v>
      </c>
      <c r="S103" s="46">
        <f>'3-Digit Lotto Table'!C903</f>
        <v>0</v>
      </c>
      <c r="T103" s="36">
        <v>998</v>
      </c>
      <c r="U103" s="48">
        <f>'3-Digit Lotto Table'!C1003</f>
        <v>0</v>
      </c>
    </row>
    <row r="104" spans="2:21" x14ac:dyDescent="0.3">
      <c r="B104" s="32">
        <v>99</v>
      </c>
      <c r="C104" s="44">
        <f>'3-Digit Lotto Table'!C104</f>
        <v>0</v>
      </c>
      <c r="D104" s="33">
        <v>199</v>
      </c>
      <c r="E104" s="44">
        <f>'3-Digit Lotto Table'!C204</f>
        <v>0</v>
      </c>
      <c r="F104" s="33">
        <v>299</v>
      </c>
      <c r="G104" s="44">
        <f>'3-Digit Lotto Table'!C304</f>
        <v>0</v>
      </c>
      <c r="H104" s="33">
        <v>399</v>
      </c>
      <c r="I104" s="44">
        <f>'3-Digit Lotto Table'!C404</f>
        <v>0</v>
      </c>
      <c r="J104" s="33">
        <v>499</v>
      </c>
      <c r="K104" s="46">
        <f>'3-Digit Lotto Table'!C504</f>
        <v>0</v>
      </c>
      <c r="L104" s="31">
        <v>599</v>
      </c>
      <c r="M104" s="46">
        <f>'3-Digit Lotto Table'!C604</f>
        <v>0</v>
      </c>
      <c r="N104" s="31">
        <v>699</v>
      </c>
      <c r="O104" s="46">
        <f>'3-Digit Lotto Table'!C704</f>
        <v>0</v>
      </c>
      <c r="P104" s="31">
        <v>799</v>
      </c>
      <c r="Q104" s="46">
        <f>'3-Digit Lotto Table'!C804</f>
        <v>0</v>
      </c>
      <c r="R104" s="31">
        <v>899</v>
      </c>
      <c r="S104" s="46">
        <f>'3-Digit Lotto Table'!C904</f>
        <v>0</v>
      </c>
      <c r="T104" s="36">
        <v>999</v>
      </c>
      <c r="U104" s="48">
        <f>'3-Digit Lotto Table'!C1004</f>
        <v>0</v>
      </c>
    </row>
    <row r="105" spans="2:21" x14ac:dyDescent="0.3">
      <c r="L105" s="34"/>
      <c r="M105" s="47"/>
      <c r="N105" s="34"/>
      <c r="O105" s="47"/>
      <c r="P105" s="34"/>
      <c r="Q105" s="47"/>
      <c r="R105" s="34"/>
      <c r="S105" s="47"/>
    </row>
    <row r="106" spans="2:21" x14ac:dyDescent="0.3">
      <c r="L106" s="34"/>
      <c r="M106" s="47"/>
      <c r="N106" s="34"/>
      <c r="O106" s="47"/>
      <c r="P106" s="34"/>
      <c r="Q106" s="47"/>
      <c r="R106" s="34"/>
      <c r="S106" s="47"/>
    </row>
    <row r="107" spans="2:21" x14ac:dyDescent="0.3">
      <c r="B107" s="65" t="s">
        <v>22</v>
      </c>
      <c r="C107" s="65"/>
      <c r="D107" s="65"/>
      <c r="E107" s="49">
        <f>'3-Digit Lotto Table'!D2</f>
        <v>9380</v>
      </c>
    </row>
    <row r="109" spans="2:21" x14ac:dyDescent="0.3">
      <c r="B109" s="32">
        <v>0</v>
      </c>
      <c r="C109" s="44">
        <f>'3-Digit Lotto Table'!D5</f>
        <v>0</v>
      </c>
      <c r="D109" s="33">
        <v>100</v>
      </c>
      <c r="E109" s="44">
        <f>'3-Digit Lotto Table'!D105</f>
        <v>0</v>
      </c>
      <c r="F109" s="33">
        <v>200</v>
      </c>
      <c r="G109" s="44">
        <f>'3-Digit Lotto Table'!D205</f>
        <v>0</v>
      </c>
      <c r="H109" s="33">
        <v>300</v>
      </c>
      <c r="I109" s="44">
        <f>'3-Digit Lotto Table'!D305</f>
        <v>0</v>
      </c>
      <c r="J109" s="33">
        <v>400</v>
      </c>
      <c r="K109" s="46">
        <f>'3-Digit Lotto Table'!D405</f>
        <v>0</v>
      </c>
      <c r="L109" s="31">
        <v>500</v>
      </c>
      <c r="M109" s="46">
        <f>'3-Digit Lotto Table'!D505</f>
        <v>0</v>
      </c>
      <c r="N109" s="31">
        <v>600</v>
      </c>
      <c r="O109" s="46">
        <f>'3-Digit Lotto Table'!D605</f>
        <v>0</v>
      </c>
      <c r="P109" s="31">
        <v>700</v>
      </c>
      <c r="Q109" s="46">
        <f>'3-Digit Lotto Table'!D705</f>
        <v>0</v>
      </c>
      <c r="R109" s="31">
        <v>800</v>
      </c>
      <c r="S109" s="46">
        <f>'3-Digit Lotto Table'!D805</f>
        <v>0</v>
      </c>
      <c r="T109" s="36">
        <v>900</v>
      </c>
      <c r="U109" s="48">
        <f>'3-Digit Lotto Table'!D905</f>
        <v>0</v>
      </c>
    </row>
    <row r="110" spans="2:21" x14ac:dyDescent="0.3">
      <c r="B110" s="32">
        <v>1</v>
      </c>
      <c r="C110" s="44">
        <f>'3-Digit Lotto Table'!D6</f>
        <v>0</v>
      </c>
      <c r="D110" s="33">
        <v>101</v>
      </c>
      <c r="E110" s="44">
        <f>'3-Digit Lotto Table'!D106</f>
        <v>0</v>
      </c>
      <c r="F110" s="33">
        <v>201</v>
      </c>
      <c r="G110" s="44">
        <f>'3-Digit Lotto Table'!D206</f>
        <v>0</v>
      </c>
      <c r="H110" s="33">
        <v>301</v>
      </c>
      <c r="I110" s="44">
        <f>'3-Digit Lotto Table'!D306</f>
        <v>0</v>
      </c>
      <c r="J110" s="33">
        <v>401</v>
      </c>
      <c r="K110" s="46">
        <f>'3-Digit Lotto Table'!D406</f>
        <v>0</v>
      </c>
      <c r="L110" s="31">
        <v>501</v>
      </c>
      <c r="M110" s="46">
        <f>'3-Digit Lotto Table'!D506</f>
        <v>0</v>
      </c>
      <c r="N110" s="31">
        <v>601</v>
      </c>
      <c r="O110" s="46">
        <f>'3-Digit Lotto Table'!D606</f>
        <v>0</v>
      </c>
      <c r="P110" s="31">
        <v>701</v>
      </c>
      <c r="Q110" s="46">
        <f>'3-Digit Lotto Table'!D706</f>
        <v>0</v>
      </c>
      <c r="R110" s="31">
        <v>801</v>
      </c>
      <c r="S110" s="46">
        <f>'3-Digit Lotto Table'!D806</f>
        <v>0</v>
      </c>
      <c r="T110" s="36">
        <v>901</v>
      </c>
      <c r="U110" s="48">
        <f>'3-Digit Lotto Table'!D906</f>
        <v>0</v>
      </c>
    </row>
    <row r="111" spans="2:21" x14ac:dyDescent="0.3">
      <c r="B111" s="32">
        <v>2</v>
      </c>
      <c r="C111" s="44">
        <f>'3-Digit Lotto Table'!D7</f>
        <v>0</v>
      </c>
      <c r="D111" s="33">
        <v>102</v>
      </c>
      <c r="E111" s="44">
        <f>'3-Digit Lotto Table'!D107</f>
        <v>0</v>
      </c>
      <c r="F111" s="33">
        <v>202</v>
      </c>
      <c r="G111" s="44">
        <f>'3-Digit Lotto Table'!D207</f>
        <v>0</v>
      </c>
      <c r="H111" s="33">
        <v>302</v>
      </c>
      <c r="I111" s="44">
        <f>'3-Digit Lotto Table'!D307</f>
        <v>0</v>
      </c>
      <c r="J111" s="33">
        <v>402</v>
      </c>
      <c r="K111" s="46">
        <f>'3-Digit Lotto Table'!D407</f>
        <v>0</v>
      </c>
      <c r="L111" s="31">
        <v>502</v>
      </c>
      <c r="M111" s="46">
        <f>'3-Digit Lotto Table'!D507</f>
        <v>0</v>
      </c>
      <c r="N111" s="31">
        <v>602</v>
      </c>
      <c r="O111" s="46">
        <f>'3-Digit Lotto Table'!D607</f>
        <v>0</v>
      </c>
      <c r="P111" s="31">
        <v>702</v>
      </c>
      <c r="Q111" s="46">
        <f>'3-Digit Lotto Table'!D707</f>
        <v>0</v>
      </c>
      <c r="R111" s="31">
        <v>802</v>
      </c>
      <c r="S111" s="46">
        <f>'3-Digit Lotto Table'!D807</f>
        <v>0</v>
      </c>
      <c r="T111" s="36">
        <v>902</v>
      </c>
      <c r="U111" s="48">
        <f>'3-Digit Lotto Table'!D907</f>
        <v>0</v>
      </c>
    </row>
    <row r="112" spans="2:21" x14ac:dyDescent="0.3">
      <c r="B112" s="32">
        <v>3</v>
      </c>
      <c r="C112" s="44">
        <f>'3-Digit Lotto Table'!D8</f>
        <v>0</v>
      </c>
      <c r="D112" s="33">
        <v>103</v>
      </c>
      <c r="E112" s="44">
        <f>'3-Digit Lotto Table'!D108</f>
        <v>0</v>
      </c>
      <c r="F112" s="33">
        <v>203</v>
      </c>
      <c r="G112" s="44">
        <f>'3-Digit Lotto Table'!D208</f>
        <v>50</v>
      </c>
      <c r="H112" s="33">
        <v>303</v>
      </c>
      <c r="I112" s="44">
        <f>'3-Digit Lotto Table'!D308</f>
        <v>0</v>
      </c>
      <c r="J112" s="33">
        <v>403</v>
      </c>
      <c r="K112" s="46">
        <f>'3-Digit Lotto Table'!D408</f>
        <v>0</v>
      </c>
      <c r="L112" s="31">
        <v>503</v>
      </c>
      <c r="M112" s="46">
        <f>'3-Digit Lotto Table'!D508</f>
        <v>0</v>
      </c>
      <c r="N112" s="31">
        <v>603</v>
      </c>
      <c r="O112" s="46">
        <f>'3-Digit Lotto Table'!D608</f>
        <v>0</v>
      </c>
      <c r="P112" s="31">
        <v>703</v>
      </c>
      <c r="Q112" s="46">
        <f>'3-Digit Lotto Table'!D708</f>
        <v>0</v>
      </c>
      <c r="R112" s="31">
        <v>803</v>
      </c>
      <c r="S112" s="46">
        <f>'3-Digit Lotto Table'!D808</f>
        <v>0</v>
      </c>
      <c r="T112" s="36">
        <v>903</v>
      </c>
      <c r="U112" s="48">
        <f>'3-Digit Lotto Table'!D908</f>
        <v>0</v>
      </c>
    </row>
    <row r="113" spans="2:21" x14ac:dyDescent="0.3">
      <c r="B113" s="32">
        <v>4</v>
      </c>
      <c r="C113" s="44">
        <f>'3-Digit Lotto Table'!D9</f>
        <v>0</v>
      </c>
      <c r="D113" s="33">
        <v>104</v>
      </c>
      <c r="E113" s="44">
        <f>'3-Digit Lotto Table'!D109</f>
        <v>0</v>
      </c>
      <c r="F113" s="33">
        <v>204</v>
      </c>
      <c r="G113" s="44">
        <f>'3-Digit Lotto Table'!D209</f>
        <v>0</v>
      </c>
      <c r="H113" s="33">
        <v>304</v>
      </c>
      <c r="I113" s="44">
        <f>'3-Digit Lotto Table'!D309</f>
        <v>0</v>
      </c>
      <c r="J113" s="33">
        <v>404</v>
      </c>
      <c r="K113" s="46">
        <f>'3-Digit Lotto Table'!D409</f>
        <v>0</v>
      </c>
      <c r="L113" s="31">
        <v>504</v>
      </c>
      <c r="M113" s="46">
        <f>'3-Digit Lotto Table'!D509</f>
        <v>0</v>
      </c>
      <c r="N113" s="31">
        <v>604</v>
      </c>
      <c r="O113" s="46">
        <f>'3-Digit Lotto Table'!D609</f>
        <v>0</v>
      </c>
      <c r="P113" s="31">
        <v>704</v>
      </c>
      <c r="Q113" s="46">
        <f>'3-Digit Lotto Table'!D709</f>
        <v>0</v>
      </c>
      <c r="R113" s="31">
        <v>804</v>
      </c>
      <c r="S113" s="46">
        <f>'3-Digit Lotto Table'!D809</f>
        <v>0</v>
      </c>
      <c r="T113" s="36">
        <v>904</v>
      </c>
      <c r="U113" s="48">
        <f>'3-Digit Lotto Table'!D909</f>
        <v>0</v>
      </c>
    </row>
    <row r="114" spans="2:21" x14ac:dyDescent="0.3">
      <c r="B114" s="32">
        <v>5</v>
      </c>
      <c r="C114" s="44">
        <f>'3-Digit Lotto Table'!D10</f>
        <v>0</v>
      </c>
      <c r="D114" s="33">
        <v>105</v>
      </c>
      <c r="E114" s="44">
        <f>'3-Digit Lotto Table'!D110</f>
        <v>100</v>
      </c>
      <c r="F114" s="33">
        <v>205</v>
      </c>
      <c r="G114" s="44">
        <f>'3-Digit Lotto Table'!D210</f>
        <v>20</v>
      </c>
      <c r="H114" s="33">
        <v>305</v>
      </c>
      <c r="I114" s="44">
        <f>'3-Digit Lotto Table'!D310</f>
        <v>0</v>
      </c>
      <c r="J114" s="33">
        <v>405</v>
      </c>
      <c r="K114" s="46">
        <f>'3-Digit Lotto Table'!D410</f>
        <v>50</v>
      </c>
      <c r="L114" s="31">
        <v>505</v>
      </c>
      <c r="M114" s="46">
        <f>'3-Digit Lotto Table'!D510</f>
        <v>0</v>
      </c>
      <c r="N114" s="31">
        <v>605</v>
      </c>
      <c r="O114" s="46">
        <f>'3-Digit Lotto Table'!D610</f>
        <v>0</v>
      </c>
      <c r="P114" s="31">
        <v>705</v>
      </c>
      <c r="Q114" s="46">
        <f>'3-Digit Lotto Table'!D710</f>
        <v>0</v>
      </c>
      <c r="R114" s="31">
        <v>805</v>
      </c>
      <c r="S114" s="46">
        <f>'3-Digit Lotto Table'!D810</f>
        <v>0</v>
      </c>
      <c r="T114" s="36">
        <v>905</v>
      </c>
      <c r="U114" s="48">
        <f>'3-Digit Lotto Table'!D910</f>
        <v>0</v>
      </c>
    </row>
    <row r="115" spans="2:21" x14ac:dyDescent="0.3">
      <c r="B115" s="32">
        <v>6</v>
      </c>
      <c r="C115" s="44">
        <f>'3-Digit Lotto Table'!D11</f>
        <v>0</v>
      </c>
      <c r="D115" s="33">
        <v>106</v>
      </c>
      <c r="E115" s="44">
        <f>'3-Digit Lotto Table'!D111</f>
        <v>0</v>
      </c>
      <c r="F115" s="33">
        <v>206</v>
      </c>
      <c r="G115" s="44">
        <f>'3-Digit Lotto Table'!D211</f>
        <v>0</v>
      </c>
      <c r="H115" s="33">
        <v>306</v>
      </c>
      <c r="I115" s="44">
        <f>'3-Digit Lotto Table'!D311</f>
        <v>0</v>
      </c>
      <c r="J115" s="33">
        <v>406</v>
      </c>
      <c r="K115" s="46">
        <f>'3-Digit Lotto Table'!D411</f>
        <v>0</v>
      </c>
      <c r="L115" s="31">
        <v>506</v>
      </c>
      <c r="M115" s="46">
        <f>'3-Digit Lotto Table'!D511</f>
        <v>0</v>
      </c>
      <c r="N115" s="31">
        <v>606</v>
      </c>
      <c r="O115" s="46">
        <f>'3-Digit Lotto Table'!D611</f>
        <v>0</v>
      </c>
      <c r="P115" s="31">
        <v>706</v>
      </c>
      <c r="Q115" s="46">
        <f>'3-Digit Lotto Table'!D711</f>
        <v>0</v>
      </c>
      <c r="R115" s="31">
        <v>806</v>
      </c>
      <c r="S115" s="46">
        <f>'3-Digit Lotto Table'!D811</f>
        <v>0</v>
      </c>
      <c r="T115" s="36">
        <v>906</v>
      </c>
      <c r="U115" s="48">
        <f>'3-Digit Lotto Table'!D911</f>
        <v>0</v>
      </c>
    </row>
    <row r="116" spans="2:21" x14ac:dyDescent="0.3">
      <c r="B116" s="32">
        <v>7</v>
      </c>
      <c r="C116" s="44">
        <f>'3-Digit Lotto Table'!D12</f>
        <v>0</v>
      </c>
      <c r="D116" s="33">
        <v>107</v>
      </c>
      <c r="E116" s="44">
        <f>'3-Digit Lotto Table'!D112</f>
        <v>0</v>
      </c>
      <c r="F116" s="33">
        <v>207</v>
      </c>
      <c r="G116" s="44">
        <f>'3-Digit Lotto Table'!D212</f>
        <v>0</v>
      </c>
      <c r="H116" s="33">
        <v>307</v>
      </c>
      <c r="I116" s="44">
        <f>'3-Digit Lotto Table'!D312</f>
        <v>0</v>
      </c>
      <c r="J116" s="33">
        <v>407</v>
      </c>
      <c r="K116" s="46">
        <f>'3-Digit Lotto Table'!D412</f>
        <v>0</v>
      </c>
      <c r="L116" s="31">
        <v>507</v>
      </c>
      <c r="M116" s="46">
        <f>'3-Digit Lotto Table'!D512</f>
        <v>0</v>
      </c>
      <c r="N116" s="31">
        <v>607</v>
      </c>
      <c r="O116" s="46">
        <f>'3-Digit Lotto Table'!D612</f>
        <v>0</v>
      </c>
      <c r="P116" s="31">
        <v>707</v>
      </c>
      <c r="Q116" s="46">
        <f>'3-Digit Lotto Table'!D712</f>
        <v>0</v>
      </c>
      <c r="R116" s="31">
        <v>807</v>
      </c>
      <c r="S116" s="46">
        <f>'3-Digit Lotto Table'!D812</f>
        <v>0</v>
      </c>
      <c r="T116" s="36">
        <v>907</v>
      </c>
      <c r="U116" s="48">
        <f>'3-Digit Lotto Table'!D912</f>
        <v>0</v>
      </c>
    </row>
    <row r="117" spans="2:21" x14ac:dyDescent="0.3">
      <c r="B117" s="32">
        <v>8</v>
      </c>
      <c r="C117" s="44">
        <f>'3-Digit Lotto Table'!D13</f>
        <v>0</v>
      </c>
      <c r="D117" s="33">
        <v>108</v>
      </c>
      <c r="E117" s="44">
        <f>'3-Digit Lotto Table'!D113</f>
        <v>50</v>
      </c>
      <c r="F117" s="33">
        <v>208</v>
      </c>
      <c r="G117" s="44">
        <f>'3-Digit Lotto Table'!D213</f>
        <v>0</v>
      </c>
      <c r="H117" s="33">
        <v>308</v>
      </c>
      <c r="I117" s="44">
        <f>'3-Digit Lotto Table'!D313</f>
        <v>30</v>
      </c>
      <c r="J117" s="33">
        <v>408</v>
      </c>
      <c r="K117" s="46">
        <f>'3-Digit Lotto Table'!D413</f>
        <v>0</v>
      </c>
      <c r="L117" s="31">
        <v>508</v>
      </c>
      <c r="M117" s="46">
        <f>'3-Digit Lotto Table'!D513</f>
        <v>0</v>
      </c>
      <c r="N117" s="31">
        <v>608</v>
      </c>
      <c r="O117" s="46">
        <f>'3-Digit Lotto Table'!D613</f>
        <v>0</v>
      </c>
      <c r="P117" s="31">
        <v>708</v>
      </c>
      <c r="Q117" s="46">
        <f>'3-Digit Lotto Table'!D713</f>
        <v>0</v>
      </c>
      <c r="R117" s="31">
        <v>808</v>
      </c>
      <c r="S117" s="46">
        <f>'3-Digit Lotto Table'!D813</f>
        <v>0</v>
      </c>
      <c r="T117" s="36">
        <v>908</v>
      </c>
      <c r="U117" s="48">
        <f>'3-Digit Lotto Table'!D913</f>
        <v>0</v>
      </c>
    </row>
    <row r="118" spans="2:21" x14ac:dyDescent="0.3">
      <c r="B118" s="32">
        <v>9</v>
      </c>
      <c r="C118" s="44">
        <f>'3-Digit Lotto Table'!D14</f>
        <v>0</v>
      </c>
      <c r="D118" s="33">
        <v>109</v>
      </c>
      <c r="E118" s="44">
        <f>'3-Digit Lotto Table'!D114</f>
        <v>0</v>
      </c>
      <c r="F118" s="33">
        <v>209</v>
      </c>
      <c r="G118" s="44">
        <f>'3-Digit Lotto Table'!D214</f>
        <v>0</v>
      </c>
      <c r="H118" s="33">
        <v>309</v>
      </c>
      <c r="I118" s="44">
        <f>'3-Digit Lotto Table'!D314</f>
        <v>30</v>
      </c>
      <c r="J118" s="33">
        <v>409</v>
      </c>
      <c r="K118" s="46">
        <f>'3-Digit Lotto Table'!D414</f>
        <v>0</v>
      </c>
      <c r="L118" s="31">
        <v>509</v>
      </c>
      <c r="M118" s="46">
        <f>'3-Digit Lotto Table'!D514</f>
        <v>0</v>
      </c>
      <c r="N118" s="31">
        <v>609</v>
      </c>
      <c r="O118" s="46">
        <f>'3-Digit Lotto Table'!D614</f>
        <v>0</v>
      </c>
      <c r="P118" s="31">
        <v>709</v>
      </c>
      <c r="Q118" s="46">
        <f>'3-Digit Lotto Table'!D714</f>
        <v>50</v>
      </c>
      <c r="R118" s="31">
        <v>809</v>
      </c>
      <c r="S118" s="46">
        <f>'3-Digit Lotto Table'!D814</f>
        <v>0</v>
      </c>
      <c r="T118" s="36">
        <v>909</v>
      </c>
      <c r="U118" s="48">
        <f>'3-Digit Lotto Table'!D914</f>
        <v>0</v>
      </c>
    </row>
    <row r="119" spans="2:21" x14ac:dyDescent="0.3">
      <c r="B119" s="32">
        <v>10</v>
      </c>
      <c r="C119" s="44">
        <f>'3-Digit Lotto Table'!D15</f>
        <v>0</v>
      </c>
      <c r="D119" s="33">
        <v>110</v>
      </c>
      <c r="E119" s="44">
        <f>'3-Digit Lotto Table'!D115</f>
        <v>0</v>
      </c>
      <c r="F119" s="33">
        <v>210</v>
      </c>
      <c r="G119" s="44">
        <f>'3-Digit Lotto Table'!D215</f>
        <v>0</v>
      </c>
      <c r="H119" s="33">
        <v>310</v>
      </c>
      <c r="I119" s="44">
        <f>'3-Digit Lotto Table'!D315</f>
        <v>0</v>
      </c>
      <c r="J119" s="33">
        <v>410</v>
      </c>
      <c r="K119" s="46">
        <f>'3-Digit Lotto Table'!D415</f>
        <v>0</v>
      </c>
      <c r="L119" s="31">
        <v>510</v>
      </c>
      <c r="M119" s="46">
        <f>'3-Digit Lotto Table'!D515</f>
        <v>0</v>
      </c>
      <c r="N119" s="31">
        <v>610</v>
      </c>
      <c r="O119" s="46">
        <f>'3-Digit Lotto Table'!D615</f>
        <v>0</v>
      </c>
      <c r="P119" s="31">
        <v>710</v>
      </c>
      <c r="Q119" s="46">
        <f>'3-Digit Lotto Table'!D715</f>
        <v>0</v>
      </c>
      <c r="R119" s="31">
        <v>810</v>
      </c>
      <c r="S119" s="46">
        <f>'3-Digit Lotto Table'!D815</f>
        <v>0</v>
      </c>
      <c r="T119" s="36">
        <v>910</v>
      </c>
      <c r="U119" s="48">
        <f>'3-Digit Lotto Table'!D915</f>
        <v>0</v>
      </c>
    </row>
    <row r="120" spans="2:21" x14ac:dyDescent="0.3">
      <c r="B120" s="32">
        <v>11</v>
      </c>
      <c r="C120" s="44">
        <f>'3-Digit Lotto Table'!D16</f>
        <v>0</v>
      </c>
      <c r="D120" s="33">
        <v>111</v>
      </c>
      <c r="E120" s="44">
        <f>'3-Digit Lotto Table'!D116</f>
        <v>0</v>
      </c>
      <c r="F120" s="33">
        <v>211</v>
      </c>
      <c r="G120" s="44">
        <f>'3-Digit Lotto Table'!D216</f>
        <v>0</v>
      </c>
      <c r="H120" s="33">
        <v>311</v>
      </c>
      <c r="I120" s="44">
        <f>'3-Digit Lotto Table'!D316</f>
        <v>0</v>
      </c>
      <c r="J120" s="33">
        <v>411</v>
      </c>
      <c r="K120" s="46">
        <f>'3-Digit Lotto Table'!D416</f>
        <v>0</v>
      </c>
      <c r="L120" s="31">
        <v>511</v>
      </c>
      <c r="M120" s="46">
        <f>'3-Digit Lotto Table'!D516</f>
        <v>0</v>
      </c>
      <c r="N120" s="31">
        <v>611</v>
      </c>
      <c r="O120" s="46">
        <f>'3-Digit Lotto Table'!D616</f>
        <v>0</v>
      </c>
      <c r="P120" s="31">
        <v>711</v>
      </c>
      <c r="Q120" s="46">
        <f>'3-Digit Lotto Table'!D716</f>
        <v>0</v>
      </c>
      <c r="R120" s="31">
        <v>811</v>
      </c>
      <c r="S120" s="46">
        <f>'3-Digit Lotto Table'!D816</f>
        <v>0</v>
      </c>
      <c r="T120" s="36">
        <v>911</v>
      </c>
      <c r="U120" s="48">
        <f>'3-Digit Lotto Table'!D916</f>
        <v>0</v>
      </c>
    </row>
    <row r="121" spans="2:21" x14ac:dyDescent="0.3">
      <c r="B121" s="32">
        <v>12</v>
      </c>
      <c r="C121" s="44">
        <f>'3-Digit Lotto Table'!D17</f>
        <v>0</v>
      </c>
      <c r="D121" s="33">
        <v>112</v>
      </c>
      <c r="E121" s="44">
        <f>'3-Digit Lotto Table'!D117</f>
        <v>0</v>
      </c>
      <c r="F121" s="33">
        <v>212</v>
      </c>
      <c r="G121" s="44">
        <f>'3-Digit Lotto Table'!D217</f>
        <v>0</v>
      </c>
      <c r="H121" s="33">
        <v>312</v>
      </c>
      <c r="I121" s="44">
        <f>'3-Digit Lotto Table'!D317</f>
        <v>0</v>
      </c>
      <c r="J121" s="33">
        <v>412</v>
      </c>
      <c r="K121" s="46">
        <f>'3-Digit Lotto Table'!D417</f>
        <v>0</v>
      </c>
      <c r="L121" s="31">
        <v>512</v>
      </c>
      <c r="M121" s="46">
        <f>'3-Digit Lotto Table'!D517</f>
        <v>0</v>
      </c>
      <c r="N121" s="31">
        <v>612</v>
      </c>
      <c r="O121" s="46">
        <f>'3-Digit Lotto Table'!D617</f>
        <v>0</v>
      </c>
      <c r="P121" s="31">
        <v>712</v>
      </c>
      <c r="Q121" s="46">
        <f>'3-Digit Lotto Table'!D717</f>
        <v>0</v>
      </c>
      <c r="R121" s="31">
        <v>812</v>
      </c>
      <c r="S121" s="46">
        <f>'3-Digit Lotto Table'!D817</f>
        <v>0</v>
      </c>
      <c r="T121" s="36">
        <v>912</v>
      </c>
      <c r="U121" s="48">
        <f>'3-Digit Lotto Table'!D917</f>
        <v>50</v>
      </c>
    </row>
    <row r="122" spans="2:21" x14ac:dyDescent="0.3">
      <c r="B122" s="32">
        <v>13</v>
      </c>
      <c r="C122" s="44">
        <f>'3-Digit Lotto Table'!D18</f>
        <v>0</v>
      </c>
      <c r="D122" s="33">
        <v>113</v>
      </c>
      <c r="E122" s="44">
        <f>'3-Digit Lotto Table'!D118</f>
        <v>0</v>
      </c>
      <c r="F122" s="33">
        <v>213</v>
      </c>
      <c r="G122" s="44">
        <f>'3-Digit Lotto Table'!D218</f>
        <v>0</v>
      </c>
      <c r="H122" s="33">
        <v>313</v>
      </c>
      <c r="I122" s="44">
        <f>'3-Digit Lotto Table'!D318</f>
        <v>0</v>
      </c>
      <c r="J122" s="33">
        <v>413</v>
      </c>
      <c r="K122" s="46">
        <f>'3-Digit Lotto Table'!D418</f>
        <v>0</v>
      </c>
      <c r="L122" s="31">
        <v>513</v>
      </c>
      <c r="M122" s="46">
        <f>'3-Digit Lotto Table'!D518</f>
        <v>0</v>
      </c>
      <c r="N122" s="31">
        <v>613</v>
      </c>
      <c r="O122" s="46">
        <f>'3-Digit Lotto Table'!D618</f>
        <v>0</v>
      </c>
      <c r="P122" s="31">
        <v>713</v>
      </c>
      <c r="Q122" s="46">
        <f>'3-Digit Lotto Table'!D718</f>
        <v>0</v>
      </c>
      <c r="R122" s="31">
        <v>813</v>
      </c>
      <c r="S122" s="46">
        <f>'3-Digit Lotto Table'!D818</f>
        <v>0</v>
      </c>
      <c r="T122" s="36">
        <v>913</v>
      </c>
      <c r="U122" s="48">
        <f>'3-Digit Lotto Table'!D918</f>
        <v>0</v>
      </c>
    </row>
    <row r="123" spans="2:21" x14ac:dyDescent="0.3">
      <c r="B123" s="32">
        <v>14</v>
      </c>
      <c r="C123" s="44">
        <f>'3-Digit Lotto Table'!D19</f>
        <v>0</v>
      </c>
      <c r="D123" s="33">
        <v>114</v>
      </c>
      <c r="E123" s="44">
        <f>'3-Digit Lotto Table'!D119</f>
        <v>0</v>
      </c>
      <c r="F123" s="33">
        <v>214</v>
      </c>
      <c r="G123" s="44">
        <f>'3-Digit Lotto Table'!D219</f>
        <v>0</v>
      </c>
      <c r="H123" s="33">
        <v>314</v>
      </c>
      <c r="I123" s="44">
        <f>'3-Digit Lotto Table'!D319</f>
        <v>0</v>
      </c>
      <c r="J123" s="33">
        <v>414</v>
      </c>
      <c r="K123" s="46">
        <f>'3-Digit Lotto Table'!D419</f>
        <v>0</v>
      </c>
      <c r="L123" s="31">
        <v>514</v>
      </c>
      <c r="M123" s="46">
        <f>'3-Digit Lotto Table'!D519</f>
        <v>0</v>
      </c>
      <c r="N123" s="31">
        <v>614</v>
      </c>
      <c r="O123" s="46">
        <f>'3-Digit Lotto Table'!D619</f>
        <v>0</v>
      </c>
      <c r="P123" s="31">
        <v>714</v>
      </c>
      <c r="Q123" s="46">
        <f>'3-Digit Lotto Table'!D719</f>
        <v>0</v>
      </c>
      <c r="R123" s="31">
        <v>814</v>
      </c>
      <c r="S123" s="46">
        <f>'3-Digit Lotto Table'!D819</f>
        <v>0</v>
      </c>
      <c r="T123" s="36">
        <v>914</v>
      </c>
      <c r="U123" s="48">
        <f>'3-Digit Lotto Table'!D919</f>
        <v>0</v>
      </c>
    </row>
    <row r="124" spans="2:21" x14ac:dyDescent="0.3">
      <c r="B124" s="32">
        <v>15</v>
      </c>
      <c r="C124" s="44">
        <f>'3-Digit Lotto Table'!D20</f>
        <v>50</v>
      </c>
      <c r="D124" s="33">
        <v>115</v>
      </c>
      <c r="E124" s="44">
        <f>'3-Digit Lotto Table'!D120</f>
        <v>0</v>
      </c>
      <c r="F124" s="33">
        <v>215</v>
      </c>
      <c r="G124" s="44">
        <f>'3-Digit Lotto Table'!D220</f>
        <v>0</v>
      </c>
      <c r="H124" s="33">
        <v>315</v>
      </c>
      <c r="I124" s="44">
        <f>'3-Digit Lotto Table'!D320</f>
        <v>0</v>
      </c>
      <c r="J124" s="33">
        <v>415</v>
      </c>
      <c r="K124" s="46">
        <f>'3-Digit Lotto Table'!D420</f>
        <v>50</v>
      </c>
      <c r="L124" s="31">
        <v>515</v>
      </c>
      <c r="M124" s="46">
        <f>'3-Digit Lotto Table'!D520</f>
        <v>0</v>
      </c>
      <c r="N124" s="31">
        <v>615</v>
      </c>
      <c r="O124" s="46">
        <f>'3-Digit Lotto Table'!D620</f>
        <v>0</v>
      </c>
      <c r="P124" s="31">
        <v>715</v>
      </c>
      <c r="Q124" s="46">
        <f>'3-Digit Lotto Table'!D720</f>
        <v>20</v>
      </c>
      <c r="R124" s="31">
        <v>815</v>
      </c>
      <c r="S124" s="46">
        <f>'3-Digit Lotto Table'!D820</f>
        <v>50</v>
      </c>
      <c r="T124" s="36">
        <v>915</v>
      </c>
      <c r="U124" s="48">
        <f>'3-Digit Lotto Table'!D920</f>
        <v>0</v>
      </c>
    </row>
    <row r="125" spans="2:21" x14ac:dyDescent="0.3">
      <c r="B125" s="32">
        <v>16</v>
      </c>
      <c r="C125" s="44">
        <f>'3-Digit Lotto Table'!D21</f>
        <v>0</v>
      </c>
      <c r="D125" s="33">
        <v>116</v>
      </c>
      <c r="E125" s="44">
        <f>'3-Digit Lotto Table'!D121</f>
        <v>0</v>
      </c>
      <c r="F125" s="33">
        <v>216</v>
      </c>
      <c r="G125" s="44">
        <f>'3-Digit Lotto Table'!D221</f>
        <v>0</v>
      </c>
      <c r="H125" s="33">
        <v>316</v>
      </c>
      <c r="I125" s="44">
        <f>'3-Digit Lotto Table'!D321</f>
        <v>0</v>
      </c>
      <c r="J125" s="33">
        <v>416</v>
      </c>
      <c r="K125" s="46">
        <f>'3-Digit Lotto Table'!D421</f>
        <v>0</v>
      </c>
      <c r="L125" s="31">
        <v>516</v>
      </c>
      <c r="M125" s="46">
        <f>'3-Digit Lotto Table'!D521</f>
        <v>0</v>
      </c>
      <c r="N125" s="31">
        <v>616</v>
      </c>
      <c r="O125" s="46">
        <f>'3-Digit Lotto Table'!D621</f>
        <v>0</v>
      </c>
      <c r="P125" s="31">
        <v>716</v>
      </c>
      <c r="Q125" s="46">
        <f>'3-Digit Lotto Table'!D721</f>
        <v>0</v>
      </c>
      <c r="R125" s="31">
        <v>816</v>
      </c>
      <c r="S125" s="46">
        <f>'3-Digit Lotto Table'!D821</f>
        <v>0</v>
      </c>
      <c r="T125" s="36">
        <v>916</v>
      </c>
      <c r="U125" s="48">
        <f>'3-Digit Lotto Table'!D921</f>
        <v>0</v>
      </c>
    </row>
    <row r="126" spans="2:21" x14ac:dyDescent="0.3">
      <c r="B126" s="32">
        <v>17</v>
      </c>
      <c r="C126" s="44">
        <f>'3-Digit Lotto Table'!D22</f>
        <v>0</v>
      </c>
      <c r="D126" s="33">
        <v>117</v>
      </c>
      <c r="E126" s="44">
        <f>'3-Digit Lotto Table'!D122</f>
        <v>0</v>
      </c>
      <c r="F126" s="33">
        <v>217</v>
      </c>
      <c r="G126" s="44">
        <f>'3-Digit Lotto Table'!D222</f>
        <v>0</v>
      </c>
      <c r="H126" s="33">
        <v>317</v>
      </c>
      <c r="I126" s="44">
        <f>'3-Digit Lotto Table'!D322</f>
        <v>0</v>
      </c>
      <c r="J126" s="33">
        <v>417</v>
      </c>
      <c r="K126" s="46">
        <f>'3-Digit Lotto Table'!D422</f>
        <v>100</v>
      </c>
      <c r="L126" s="31">
        <v>517</v>
      </c>
      <c r="M126" s="46">
        <f>'3-Digit Lotto Table'!D522</f>
        <v>0</v>
      </c>
      <c r="N126" s="31">
        <v>617</v>
      </c>
      <c r="O126" s="46">
        <f>'3-Digit Lotto Table'!D622</f>
        <v>0</v>
      </c>
      <c r="P126" s="31">
        <v>717</v>
      </c>
      <c r="Q126" s="46">
        <f>'3-Digit Lotto Table'!D722</f>
        <v>0</v>
      </c>
      <c r="R126" s="31">
        <v>817</v>
      </c>
      <c r="S126" s="46">
        <f>'3-Digit Lotto Table'!D822</f>
        <v>0</v>
      </c>
      <c r="T126" s="36">
        <v>917</v>
      </c>
      <c r="U126" s="48">
        <f>'3-Digit Lotto Table'!D922</f>
        <v>0</v>
      </c>
    </row>
    <row r="127" spans="2:21" x14ac:dyDescent="0.3">
      <c r="B127" s="32">
        <v>18</v>
      </c>
      <c r="C127" s="44">
        <f>'3-Digit Lotto Table'!D23</f>
        <v>0</v>
      </c>
      <c r="D127" s="33">
        <v>118</v>
      </c>
      <c r="E127" s="44">
        <f>'3-Digit Lotto Table'!D123</f>
        <v>0</v>
      </c>
      <c r="F127" s="33">
        <v>218</v>
      </c>
      <c r="G127" s="44">
        <f>'3-Digit Lotto Table'!D223</f>
        <v>0</v>
      </c>
      <c r="H127" s="33">
        <v>318</v>
      </c>
      <c r="I127" s="44">
        <f>'3-Digit Lotto Table'!D323</f>
        <v>0</v>
      </c>
      <c r="J127" s="33">
        <v>418</v>
      </c>
      <c r="K127" s="46">
        <f>'3-Digit Lotto Table'!D423</f>
        <v>0</v>
      </c>
      <c r="L127" s="31">
        <v>518</v>
      </c>
      <c r="M127" s="46">
        <f>'3-Digit Lotto Table'!D523</f>
        <v>50</v>
      </c>
      <c r="N127" s="31">
        <v>618</v>
      </c>
      <c r="O127" s="46">
        <f>'3-Digit Lotto Table'!D623</f>
        <v>0</v>
      </c>
      <c r="P127" s="31">
        <v>718</v>
      </c>
      <c r="Q127" s="46">
        <f>'3-Digit Lotto Table'!D723</f>
        <v>0</v>
      </c>
      <c r="R127" s="31">
        <v>818</v>
      </c>
      <c r="S127" s="46">
        <f>'3-Digit Lotto Table'!D823</f>
        <v>0</v>
      </c>
      <c r="T127" s="36">
        <v>918</v>
      </c>
      <c r="U127" s="48">
        <f>'3-Digit Lotto Table'!D923</f>
        <v>0</v>
      </c>
    </row>
    <row r="128" spans="2:21" x14ac:dyDescent="0.3">
      <c r="B128" s="32">
        <v>19</v>
      </c>
      <c r="C128" s="44">
        <f>'3-Digit Lotto Table'!D24</f>
        <v>0</v>
      </c>
      <c r="D128" s="33">
        <v>119</v>
      </c>
      <c r="E128" s="44">
        <f>'3-Digit Lotto Table'!D124</f>
        <v>0</v>
      </c>
      <c r="F128" s="33">
        <v>219</v>
      </c>
      <c r="G128" s="44">
        <f>'3-Digit Lotto Table'!D224</f>
        <v>50</v>
      </c>
      <c r="H128" s="33">
        <v>319</v>
      </c>
      <c r="I128" s="44">
        <f>'3-Digit Lotto Table'!D324</f>
        <v>0</v>
      </c>
      <c r="J128" s="33">
        <v>419</v>
      </c>
      <c r="K128" s="46">
        <f>'3-Digit Lotto Table'!D424</f>
        <v>0</v>
      </c>
      <c r="L128" s="31">
        <v>519</v>
      </c>
      <c r="M128" s="46">
        <f>'3-Digit Lotto Table'!D524</f>
        <v>0</v>
      </c>
      <c r="N128" s="31">
        <v>619</v>
      </c>
      <c r="O128" s="46">
        <f>'3-Digit Lotto Table'!D624</f>
        <v>0</v>
      </c>
      <c r="P128" s="31">
        <v>719</v>
      </c>
      <c r="Q128" s="46">
        <f>'3-Digit Lotto Table'!D724</f>
        <v>0</v>
      </c>
      <c r="R128" s="31">
        <v>819</v>
      </c>
      <c r="S128" s="46">
        <f>'3-Digit Lotto Table'!D824</f>
        <v>0</v>
      </c>
      <c r="T128" s="36">
        <v>919</v>
      </c>
      <c r="U128" s="48">
        <f>'3-Digit Lotto Table'!D924</f>
        <v>0</v>
      </c>
    </row>
    <row r="129" spans="2:21" x14ac:dyDescent="0.3">
      <c r="B129" s="32">
        <v>20</v>
      </c>
      <c r="C129" s="44">
        <f>'3-Digit Lotto Table'!D25</f>
        <v>0</v>
      </c>
      <c r="D129" s="33">
        <v>120</v>
      </c>
      <c r="E129" s="44">
        <f>'3-Digit Lotto Table'!D125</f>
        <v>0</v>
      </c>
      <c r="F129" s="33">
        <v>220</v>
      </c>
      <c r="G129" s="44">
        <f>'3-Digit Lotto Table'!D225</f>
        <v>0</v>
      </c>
      <c r="H129" s="33">
        <v>320</v>
      </c>
      <c r="I129" s="44">
        <f>'3-Digit Lotto Table'!D325</f>
        <v>100</v>
      </c>
      <c r="J129" s="33">
        <v>420</v>
      </c>
      <c r="K129" s="46">
        <f>'3-Digit Lotto Table'!D425</f>
        <v>0</v>
      </c>
      <c r="L129" s="31">
        <v>520</v>
      </c>
      <c r="M129" s="46">
        <f>'3-Digit Lotto Table'!D525</f>
        <v>0</v>
      </c>
      <c r="N129" s="31">
        <v>620</v>
      </c>
      <c r="O129" s="46">
        <f>'3-Digit Lotto Table'!D625</f>
        <v>0</v>
      </c>
      <c r="P129" s="31">
        <v>720</v>
      </c>
      <c r="Q129" s="46">
        <f>'3-Digit Lotto Table'!D725</f>
        <v>300</v>
      </c>
      <c r="R129" s="31">
        <v>820</v>
      </c>
      <c r="S129" s="46">
        <f>'3-Digit Lotto Table'!D825</f>
        <v>0</v>
      </c>
      <c r="T129" s="36">
        <v>920</v>
      </c>
      <c r="U129" s="48">
        <f>'3-Digit Lotto Table'!D925</f>
        <v>0</v>
      </c>
    </row>
    <row r="130" spans="2:21" x14ac:dyDescent="0.3">
      <c r="B130" s="32">
        <v>21</v>
      </c>
      <c r="C130" s="44">
        <f>'3-Digit Lotto Table'!D26</f>
        <v>0</v>
      </c>
      <c r="D130" s="33">
        <v>121</v>
      </c>
      <c r="E130" s="44">
        <f>'3-Digit Lotto Table'!D126</f>
        <v>0</v>
      </c>
      <c r="F130" s="33">
        <v>221</v>
      </c>
      <c r="G130" s="44">
        <f>'3-Digit Lotto Table'!D226</f>
        <v>0</v>
      </c>
      <c r="H130" s="33">
        <v>321</v>
      </c>
      <c r="I130" s="44">
        <f>'3-Digit Lotto Table'!D326</f>
        <v>100</v>
      </c>
      <c r="J130" s="33">
        <v>421</v>
      </c>
      <c r="K130" s="46">
        <f>'3-Digit Lotto Table'!D426</f>
        <v>0</v>
      </c>
      <c r="L130" s="31">
        <v>521</v>
      </c>
      <c r="M130" s="46">
        <f>'3-Digit Lotto Table'!D526</f>
        <v>100</v>
      </c>
      <c r="N130" s="31">
        <v>621</v>
      </c>
      <c r="O130" s="46">
        <f>'3-Digit Lotto Table'!D626</f>
        <v>0</v>
      </c>
      <c r="P130" s="31">
        <v>721</v>
      </c>
      <c r="Q130" s="46">
        <f>'3-Digit Lotto Table'!D726</f>
        <v>0</v>
      </c>
      <c r="R130" s="31">
        <v>821</v>
      </c>
      <c r="S130" s="46">
        <f>'3-Digit Lotto Table'!D826</f>
        <v>0</v>
      </c>
      <c r="T130" s="36">
        <v>921</v>
      </c>
      <c r="U130" s="48">
        <f>'3-Digit Lotto Table'!D926</f>
        <v>0</v>
      </c>
    </row>
    <row r="131" spans="2:21" x14ac:dyDescent="0.3">
      <c r="B131" s="32">
        <v>22</v>
      </c>
      <c r="C131" s="44">
        <f>'3-Digit Lotto Table'!D27</f>
        <v>0</v>
      </c>
      <c r="D131" s="33">
        <v>122</v>
      </c>
      <c r="E131" s="44">
        <f>'3-Digit Lotto Table'!D127</f>
        <v>0</v>
      </c>
      <c r="F131" s="33">
        <v>222</v>
      </c>
      <c r="G131" s="44">
        <f>'3-Digit Lotto Table'!D227</f>
        <v>0</v>
      </c>
      <c r="H131" s="33">
        <v>322</v>
      </c>
      <c r="I131" s="44">
        <f>'3-Digit Lotto Table'!D327</f>
        <v>0</v>
      </c>
      <c r="J131" s="33">
        <v>422</v>
      </c>
      <c r="K131" s="46">
        <f>'3-Digit Lotto Table'!D427</f>
        <v>0</v>
      </c>
      <c r="L131" s="31">
        <v>522</v>
      </c>
      <c r="M131" s="46">
        <f>'3-Digit Lotto Table'!D527</f>
        <v>0</v>
      </c>
      <c r="N131" s="31">
        <v>622</v>
      </c>
      <c r="O131" s="46">
        <f>'3-Digit Lotto Table'!D627</f>
        <v>0</v>
      </c>
      <c r="P131" s="31">
        <v>722</v>
      </c>
      <c r="Q131" s="46">
        <f>'3-Digit Lotto Table'!D727</f>
        <v>0</v>
      </c>
      <c r="R131" s="31">
        <v>822</v>
      </c>
      <c r="S131" s="46">
        <f>'3-Digit Lotto Table'!D827</f>
        <v>0</v>
      </c>
      <c r="T131" s="36">
        <v>922</v>
      </c>
      <c r="U131" s="48">
        <f>'3-Digit Lotto Table'!D927</f>
        <v>0</v>
      </c>
    </row>
    <row r="132" spans="2:21" x14ac:dyDescent="0.3">
      <c r="B132" s="32">
        <v>23</v>
      </c>
      <c r="C132" s="44">
        <f>'3-Digit Lotto Table'!D28</f>
        <v>0</v>
      </c>
      <c r="D132" s="33">
        <v>123</v>
      </c>
      <c r="E132" s="44">
        <f>'3-Digit Lotto Table'!D128</f>
        <v>0</v>
      </c>
      <c r="F132" s="33">
        <v>223</v>
      </c>
      <c r="G132" s="44">
        <f>'3-Digit Lotto Table'!D228</f>
        <v>0</v>
      </c>
      <c r="H132" s="33">
        <v>323</v>
      </c>
      <c r="I132" s="44">
        <f>'3-Digit Lotto Table'!D328</f>
        <v>0</v>
      </c>
      <c r="J132" s="33">
        <v>423</v>
      </c>
      <c r="K132" s="46">
        <f>'3-Digit Lotto Table'!D428</f>
        <v>50</v>
      </c>
      <c r="L132" s="31">
        <v>523</v>
      </c>
      <c r="M132" s="46">
        <f>'3-Digit Lotto Table'!D528</f>
        <v>0</v>
      </c>
      <c r="N132" s="31">
        <v>623</v>
      </c>
      <c r="O132" s="46">
        <f>'3-Digit Lotto Table'!D628</f>
        <v>0</v>
      </c>
      <c r="P132" s="31">
        <v>723</v>
      </c>
      <c r="Q132" s="46">
        <f>'3-Digit Lotto Table'!D728</f>
        <v>60</v>
      </c>
      <c r="R132" s="31">
        <v>823</v>
      </c>
      <c r="S132" s="46">
        <f>'3-Digit Lotto Table'!D828</f>
        <v>0</v>
      </c>
      <c r="T132" s="36">
        <v>923</v>
      </c>
      <c r="U132" s="48">
        <f>'3-Digit Lotto Table'!D928</f>
        <v>0</v>
      </c>
    </row>
    <row r="133" spans="2:21" x14ac:dyDescent="0.3">
      <c r="B133" s="32">
        <v>24</v>
      </c>
      <c r="C133" s="44">
        <f>'3-Digit Lotto Table'!D29</f>
        <v>0</v>
      </c>
      <c r="D133" s="33">
        <v>124</v>
      </c>
      <c r="E133" s="44">
        <f>'3-Digit Lotto Table'!D129</f>
        <v>0</v>
      </c>
      <c r="F133" s="33">
        <v>224</v>
      </c>
      <c r="G133" s="44">
        <f>'3-Digit Lotto Table'!D229</f>
        <v>0</v>
      </c>
      <c r="H133" s="33">
        <v>324</v>
      </c>
      <c r="I133" s="44">
        <f>'3-Digit Lotto Table'!D329</f>
        <v>0</v>
      </c>
      <c r="J133" s="33">
        <v>424</v>
      </c>
      <c r="K133" s="46">
        <f>'3-Digit Lotto Table'!D429</f>
        <v>0</v>
      </c>
      <c r="L133" s="31">
        <v>524</v>
      </c>
      <c r="M133" s="46">
        <f>'3-Digit Lotto Table'!D529</f>
        <v>0</v>
      </c>
      <c r="N133" s="31">
        <v>624</v>
      </c>
      <c r="O133" s="46">
        <f>'3-Digit Lotto Table'!D629</f>
        <v>0</v>
      </c>
      <c r="P133" s="31">
        <v>724</v>
      </c>
      <c r="Q133" s="46">
        <f>'3-Digit Lotto Table'!D729</f>
        <v>100</v>
      </c>
      <c r="R133" s="31">
        <v>824</v>
      </c>
      <c r="S133" s="46">
        <f>'3-Digit Lotto Table'!D829</f>
        <v>100</v>
      </c>
      <c r="T133" s="36">
        <v>924</v>
      </c>
      <c r="U133" s="48">
        <f>'3-Digit Lotto Table'!D929</f>
        <v>0</v>
      </c>
    </row>
    <row r="134" spans="2:21" x14ac:dyDescent="0.3">
      <c r="B134" s="32">
        <v>25</v>
      </c>
      <c r="C134" s="44">
        <f>'3-Digit Lotto Table'!D30</f>
        <v>0</v>
      </c>
      <c r="D134" s="33">
        <v>125</v>
      </c>
      <c r="E134" s="44">
        <f>'3-Digit Lotto Table'!D130</f>
        <v>0</v>
      </c>
      <c r="F134" s="33">
        <v>225</v>
      </c>
      <c r="G134" s="44">
        <f>'3-Digit Lotto Table'!D230</f>
        <v>0</v>
      </c>
      <c r="H134" s="33">
        <v>325</v>
      </c>
      <c r="I134" s="44">
        <f>'3-Digit Lotto Table'!D330</f>
        <v>0</v>
      </c>
      <c r="J134" s="33">
        <v>425</v>
      </c>
      <c r="K134" s="46">
        <f>'3-Digit Lotto Table'!D430</f>
        <v>100</v>
      </c>
      <c r="L134" s="31">
        <v>525</v>
      </c>
      <c r="M134" s="46">
        <f>'3-Digit Lotto Table'!D530</f>
        <v>0</v>
      </c>
      <c r="N134" s="31">
        <v>625</v>
      </c>
      <c r="O134" s="46">
        <f>'3-Digit Lotto Table'!D630</f>
        <v>50</v>
      </c>
      <c r="P134" s="31">
        <v>725</v>
      </c>
      <c r="Q134" s="46">
        <f>'3-Digit Lotto Table'!D730</f>
        <v>50</v>
      </c>
      <c r="R134" s="31">
        <v>825</v>
      </c>
      <c r="S134" s="46">
        <f>'3-Digit Lotto Table'!D830</f>
        <v>0</v>
      </c>
      <c r="T134" s="36">
        <v>925</v>
      </c>
      <c r="U134" s="48">
        <f>'3-Digit Lotto Table'!D930</f>
        <v>0</v>
      </c>
    </row>
    <row r="135" spans="2:21" x14ac:dyDescent="0.3">
      <c r="B135" s="32">
        <v>26</v>
      </c>
      <c r="C135" s="44">
        <f>'3-Digit Lotto Table'!D31</f>
        <v>0</v>
      </c>
      <c r="D135" s="33">
        <v>126</v>
      </c>
      <c r="E135" s="44">
        <f>'3-Digit Lotto Table'!D131</f>
        <v>0</v>
      </c>
      <c r="F135" s="33">
        <v>226</v>
      </c>
      <c r="G135" s="44">
        <f>'3-Digit Lotto Table'!D231</f>
        <v>0</v>
      </c>
      <c r="H135" s="33">
        <v>326</v>
      </c>
      <c r="I135" s="44">
        <f>'3-Digit Lotto Table'!D331</f>
        <v>0</v>
      </c>
      <c r="J135" s="33">
        <v>426</v>
      </c>
      <c r="K135" s="46">
        <f>'3-Digit Lotto Table'!D431</f>
        <v>0</v>
      </c>
      <c r="L135" s="31">
        <v>526</v>
      </c>
      <c r="M135" s="46">
        <f>'3-Digit Lotto Table'!D531</f>
        <v>50</v>
      </c>
      <c r="N135" s="31">
        <v>626</v>
      </c>
      <c r="O135" s="46">
        <f>'3-Digit Lotto Table'!D631</f>
        <v>0</v>
      </c>
      <c r="P135" s="31">
        <v>726</v>
      </c>
      <c r="Q135" s="46">
        <f>'3-Digit Lotto Table'!D731</f>
        <v>0</v>
      </c>
      <c r="R135" s="31">
        <v>826</v>
      </c>
      <c r="S135" s="46">
        <f>'3-Digit Lotto Table'!D831</f>
        <v>0</v>
      </c>
      <c r="T135" s="36">
        <v>926</v>
      </c>
      <c r="U135" s="48">
        <f>'3-Digit Lotto Table'!D931</f>
        <v>0</v>
      </c>
    </row>
    <row r="136" spans="2:21" x14ac:dyDescent="0.3">
      <c r="B136" s="32">
        <v>27</v>
      </c>
      <c r="C136" s="44">
        <f>'3-Digit Lotto Table'!D32</f>
        <v>0</v>
      </c>
      <c r="D136" s="33">
        <v>127</v>
      </c>
      <c r="E136" s="44">
        <f>'3-Digit Lotto Table'!D132</f>
        <v>0</v>
      </c>
      <c r="F136" s="33">
        <v>227</v>
      </c>
      <c r="G136" s="44">
        <f>'3-Digit Lotto Table'!D232</f>
        <v>0</v>
      </c>
      <c r="H136" s="33">
        <v>327</v>
      </c>
      <c r="I136" s="44">
        <f>'3-Digit Lotto Table'!D332</f>
        <v>0</v>
      </c>
      <c r="J136" s="33">
        <v>427</v>
      </c>
      <c r="K136" s="46">
        <f>'3-Digit Lotto Table'!D432</f>
        <v>0</v>
      </c>
      <c r="L136" s="31">
        <v>527</v>
      </c>
      <c r="M136" s="46">
        <f>'3-Digit Lotto Table'!D532</f>
        <v>0</v>
      </c>
      <c r="N136" s="31">
        <v>627</v>
      </c>
      <c r="O136" s="46">
        <f>'3-Digit Lotto Table'!D632</f>
        <v>0</v>
      </c>
      <c r="P136" s="31">
        <v>727</v>
      </c>
      <c r="Q136" s="46">
        <f>'3-Digit Lotto Table'!D732</f>
        <v>0</v>
      </c>
      <c r="R136" s="31">
        <v>827</v>
      </c>
      <c r="S136" s="46">
        <f>'3-Digit Lotto Table'!D832</f>
        <v>0</v>
      </c>
      <c r="T136" s="36">
        <v>927</v>
      </c>
      <c r="U136" s="48">
        <f>'3-Digit Lotto Table'!D932</f>
        <v>0</v>
      </c>
    </row>
    <row r="137" spans="2:21" x14ac:dyDescent="0.3">
      <c r="B137" s="32">
        <v>28</v>
      </c>
      <c r="C137" s="44">
        <f>'3-Digit Lotto Table'!D33</f>
        <v>0</v>
      </c>
      <c r="D137" s="33">
        <v>128</v>
      </c>
      <c r="E137" s="44">
        <f>'3-Digit Lotto Table'!D133</f>
        <v>0</v>
      </c>
      <c r="F137" s="33">
        <v>228</v>
      </c>
      <c r="G137" s="44">
        <f>'3-Digit Lotto Table'!D233</f>
        <v>0</v>
      </c>
      <c r="H137" s="33">
        <v>328</v>
      </c>
      <c r="I137" s="44">
        <f>'3-Digit Lotto Table'!D333</f>
        <v>0</v>
      </c>
      <c r="J137" s="33">
        <v>428</v>
      </c>
      <c r="K137" s="46">
        <f>'3-Digit Lotto Table'!D433</f>
        <v>0</v>
      </c>
      <c r="L137" s="31">
        <v>528</v>
      </c>
      <c r="M137" s="46">
        <f>'3-Digit Lotto Table'!D533</f>
        <v>20</v>
      </c>
      <c r="N137" s="31">
        <v>628</v>
      </c>
      <c r="O137" s="46">
        <f>'3-Digit Lotto Table'!D633</f>
        <v>0</v>
      </c>
      <c r="P137" s="31">
        <v>728</v>
      </c>
      <c r="Q137" s="46">
        <f>'3-Digit Lotto Table'!D733</f>
        <v>0</v>
      </c>
      <c r="R137" s="31">
        <v>828</v>
      </c>
      <c r="S137" s="46">
        <f>'3-Digit Lotto Table'!D833</f>
        <v>0</v>
      </c>
      <c r="T137" s="36">
        <v>928</v>
      </c>
      <c r="U137" s="48">
        <f>'3-Digit Lotto Table'!D933</f>
        <v>0</v>
      </c>
    </row>
    <row r="138" spans="2:21" x14ac:dyDescent="0.3">
      <c r="B138" s="32">
        <v>29</v>
      </c>
      <c r="C138" s="44">
        <f>'3-Digit Lotto Table'!D34</f>
        <v>0</v>
      </c>
      <c r="D138" s="33">
        <v>129</v>
      </c>
      <c r="E138" s="44">
        <f>'3-Digit Lotto Table'!D134</f>
        <v>0</v>
      </c>
      <c r="F138" s="33">
        <v>229</v>
      </c>
      <c r="G138" s="44">
        <f>'3-Digit Lotto Table'!D234</f>
        <v>0</v>
      </c>
      <c r="H138" s="33">
        <v>329</v>
      </c>
      <c r="I138" s="44">
        <f>'3-Digit Lotto Table'!D334</f>
        <v>0</v>
      </c>
      <c r="J138" s="33">
        <v>429</v>
      </c>
      <c r="K138" s="46">
        <f>'3-Digit Lotto Table'!D434</f>
        <v>0</v>
      </c>
      <c r="L138" s="31">
        <v>529</v>
      </c>
      <c r="M138" s="46">
        <f>'3-Digit Lotto Table'!D534</f>
        <v>0</v>
      </c>
      <c r="N138" s="31">
        <v>629</v>
      </c>
      <c r="O138" s="46">
        <f>'3-Digit Lotto Table'!D634</f>
        <v>0</v>
      </c>
      <c r="P138" s="31">
        <v>729</v>
      </c>
      <c r="Q138" s="46">
        <f>'3-Digit Lotto Table'!D734</f>
        <v>0</v>
      </c>
      <c r="R138" s="31">
        <v>829</v>
      </c>
      <c r="S138" s="46">
        <f>'3-Digit Lotto Table'!D834</f>
        <v>0</v>
      </c>
      <c r="T138" s="36">
        <v>929</v>
      </c>
      <c r="U138" s="48">
        <f>'3-Digit Lotto Table'!D934</f>
        <v>0</v>
      </c>
    </row>
    <row r="139" spans="2:21" x14ac:dyDescent="0.3">
      <c r="B139" s="32">
        <v>30</v>
      </c>
      <c r="C139" s="44">
        <f>'3-Digit Lotto Table'!D35</f>
        <v>0</v>
      </c>
      <c r="D139" s="33">
        <v>130</v>
      </c>
      <c r="E139" s="44">
        <f>'3-Digit Lotto Table'!D135</f>
        <v>0</v>
      </c>
      <c r="F139" s="33">
        <v>230</v>
      </c>
      <c r="G139" s="44">
        <f>'3-Digit Lotto Table'!D235</f>
        <v>0</v>
      </c>
      <c r="H139" s="33">
        <v>330</v>
      </c>
      <c r="I139" s="44">
        <f>'3-Digit Lotto Table'!D335</f>
        <v>0</v>
      </c>
      <c r="J139" s="33">
        <v>430</v>
      </c>
      <c r="K139" s="46">
        <f>'3-Digit Lotto Table'!D435</f>
        <v>0</v>
      </c>
      <c r="L139" s="31">
        <v>530</v>
      </c>
      <c r="M139" s="46">
        <f>'3-Digit Lotto Table'!D535</f>
        <v>0</v>
      </c>
      <c r="N139" s="31">
        <v>630</v>
      </c>
      <c r="O139" s="46">
        <f>'3-Digit Lotto Table'!D635</f>
        <v>0</v>
      </c>
      <c r="P139" s="31">
        <v>730</v>
      </c>
      <c r="Q139" s="46">
        <f>'3-Digit Lotto Table'!D735</f>
        <v>0</v>
      </c>
      <c r="R139" s="31">
        <v>830</v>
      </c>
      <c r="S139" s="46">
        <f>'3-Digit Lotto Table'!D835</f>
        <v>0</v>
      </c>
      <c r="T139" s="36">
        <v>930</v>
      </c>
      <c r="U139" s="48">
        <f>'3-Digit Lotto Table'!D935</f>
        <v>0</v>
      </c>
    </row>
    <row r="140" spans="2:21" x14ac:dyDescent="0.3">
      <c r="B140" s="32">
        <v>31</v>
      </c>
      <c r="C140" s="44">
        <f>'3-Digit Lotto Table'!D36</f>
        <v>0</v>
      </c>
      <c r="D140" s="33">
        <v>131</v>
      </c>
      <c r="E140" s="44">
        <f>'3-Digit Lotto Table'!D136</f>
        <v>0</v>
      </c>
      <c r="F140" s="33">
        <v>231</v>
      </c>
      <c r="G140" s="44">
        <f>'3-Digit Lotto Table'!D236</f>
        <v>20</v>
      </c>
      <c r="H140" s="33">
        <v>331</v>
      </c>
      <c r="I140" s="44">
        <f>'3-Digit Lotto Table'!D336</f>
        <v>0</v>
      </c>
      <c r="J140" s="33">
        <v>431</v>
      </c>
      <c r="K140" s="46">
        <f>'3-Digit Lotto Table'!D436</f>
        <v>0</v>
      </c>
      <c r="L140" s="31">
        <v>531</v>
      </c>
      <c r="M140" s="46">
        <f>'3-Digit Lotto Table'!D536</f>
        <v>0</v>
      </c>
      <c r="N140" s="31">
        <v>631</v>
      </c>
      <c r="O140" s="46">
        <f>'3-Digit Lotto Table'!D636</f>
        <v>0</v>
      </c>
      <c r="P140" s="31">
        <v>731</v>
      </c>
      <c r="Q140" s="46">
        <f>'3-Digit Lotto Table'!D736</f>
        <v>30</v>
      </c>
      <c r="R140" s="31">
        <v>831</v>
      </c>
      <c r="S140" s="46">
        <f>'3-Digit Lotto Table'!D836</f>
        <v>0</v>
      </c>
      <c r="T140" s="36">
        <v>931</v>
      </c>
      <c r="U140" s="48">
        <f>'3-Digit Lotto Table'!D936</f>
        <v>0</v>
      </c>
    </row>
    <row r="141" spans="2:21" x14ac:dyDescent="0.3">
      <c r="B141" s="32">
        <v>32</v>
      </c>
      <c r="C141" s="44">
        <f>'3-Digit Lotto Table'!D37</f>
        <v>0</v>
      </c>
      <c r="D141" s="33">
        <v>132</v>
      </c>
      <c r="E141" s="44">
        <f>'3-Digit Lotto Table'!D137</f>
        <v>0</v>
      </c>
      <c r="F141" s="33">
        <v>232</v>
      </c>
      <c r="G141" s="44">
        <f>'3-Digit Lotto Table'!D237</f>
        <v>0</v>
      </c>
      <c r="H141" s="33">
        <v>332</v>
      </c>
      <c r="I141" s="44">
        <f>'3-Digit Lotto Table'!D337</f>
        <v>0</v>
      </c>
      <c r="J141" s="33">
        <v>432</v>
      </c>
      <c r="K141" s="46">
        <f>'3-Digit Lotto Table'!D437</f>
        <v>0</v>
      </c>
      <c r="L141" s="31">
        <v>532</v>
      </c>
      <c r="M141" s="46">
        <f>'3-Digit Lotto Table'!D537</f>
        <v>0</v>
      </c>
      <c r="N141" s="31">
        <v>632</v>
      </c>
      <c r="O141" s="46">
        <f>'3-Digit Lotto Table'!D637</f>
        <v>0</v>
      </c>
      <c r="P141" s="31">
        <v>732</v>
      </c>
      <c r="Q141" s="46">
        <f>'3-Digit Lotto Table'!D737</f>
        <v>0</v>
      </c>
      <c r="R141" s="31">
        <v>832</v>
      </c>
      <c r="S141" s="46">
        <f>'3-Digit Lotto Table'!D837</f>
        <v>0</v>
      </c>
      <c r="T141" s="36">
        <v>932</v>
      </c>
      <c r="U141" s="48">
        <f>'3-Digit Lotto Table'!D937</f>
        <v>0</v>
      </c>
    </row>
    <row r="142" spans="2:21" x14ac:dyDescent="0.3">
      <c r="B142" s="32">
        <v>33</v>
      </c>
      <c r="C142" s="44">
        <f>'3-Digit Lotto Table'!D38</f>
        <v>0</v>
      </c>
      <c r="D142" s="33">
        <v>133</v>
      </c>
      <c r="E142" s="44">
        <f>'3-Digit Lotto Table'!D138</f>
        <v>0</v>
      </c>
      <c r="F142" s="33">
        <v>233</v>
      </c>
      <c r="G142" s="44">
        <f>'3-Digit Lotto Table'!D238</f>
        <v>0</v>
      </c>
      <c r="H142" s="33">
        <v>333</v>
      </c>
      <c r="I142" s="44">
        <f>'3-Digit Lotto Table'!D338</f>
        <v>0</v>
      </c>
      <c r="J142" s="33">
        <v>433</v>
      </c>
      <c r="K142" s="46">
        <f>'3-Digit Lotto Table'!D438</f>
        <v>0</v>
      </c>
      <c r="L142" s="31">
        <v>533</v>
      </c>
      <c r="M142" s="46">
        <f>'3-Digit Lotto Table'!D538</f>
        <v>0</v>
      </c>
      <c r="N142" s="31">
        <v>633</v>
      </c>
      <c r="O142" s="46">
        <f>'3-Digit Lotto Table'!D638</f>
        <v>0</v>
      </c>
      <c r="P142" s="31">
        <v>733</v>
      </c>
      <c r="Q142" s="46">
        <f>'3-Digit Lotto Table'!D738</f>
        <v>0</v>
      </c>
      <c r="R142" s="31">
        <v>833</v>
      </c>
      <c r="S142" s="46">
        <f>'3-Digit Lotto Table'!D838</f>
        <v>0</v>
      </c>
      <c r="T142" s="36">
        <v>933</v>
      </c>
      <c r="U142" s="48">
        <f>'3-Digit Lotto Table'!D938</f>
        <v>0</v>
      </c>
    </row>
    <row r="143" spans="2:21" x14ac:dyDescent="0.3">
      <c r="B143" s="32">
        <v>34</v>
      </c>
      <c r="C143" s="44">
        <f>'3-Digit Lotto Table'!D39</f>
        <v>0</v>
      </c>
      <c r="D143" s="33">
        <v>134</v>
      </c>
      <c r="E143" s="44">
        <f>'3-Digit Lotto Table'!D139</f>
        <v>0</v>
      </c>
      <c r="F143" s="33">
        <v>234</v>
      </c>
      <c r="G143" s="44">
        <f>'3-Digit Lotto Table'!D239</f>
        <v>0</v>
      </c>
      <c r="H143" s="33">
        <v>334</v>
      </c>
      <c r="I143" s="44">
        <f>'3-Digit Lotto Table'!D339</f>
        <v>0</v>
      </c>
      <c r="J143" s="33">
        <v>434</v>
      </c>
      <c r="K143" s="46">
        <f>'3-Digit Lotto Table'!D439</f>
        <v>0</v>
      </c>
      <c r="L143" s="31">
        <v>534</v>
      </c>
      <c r="M143" s="46">
        <f>'3-Digit Lotto Table'!D539</f>
        <v>0</v>
      </c>
      <c r="N143" s="31">
        <v>634</v>
      </c>
      <c r="O143" s="46">
        <f>'3-Digit Lotto Table'!D639</f>
        <v>0</v>
      </c>
      <c r="P143" s="31">
        <v>734</v>
      </c>
      <c r="Q143" s="46">
        <f>'3-Digit Lotto Table'!D739</f>
        <v>50</v>
      </c>
      <c r="R143" s="31">
        <v>834</v>
      </c>
      <c r="S143" s="46">
        <f>'3-Digit Lotto Table'!D839</f>
        <v>0</v>
      </c>
      <c r="T143" s="36">
        <v>934</v>
      </c>
      <c r="U143" s="48">
        <f>'3-Digit Lotto Table'!D939</f>
        <v>0</v>
      </c>
    </row>
    <row r="144" spans="2:21" x14ac:dyDescent="0.3">
      <c r="B144" s="32">
        <v>35</v>
      </c>
      <c r="C144" s="44">
        <f>'3-Digit Lotto Table'!D40</f>
        <v>50</v>
      </c>
      <c r="D144" s="33">
        <v>135</v>
      </c>
      <c r="E144" s="44">
        <f>'3-Digit Lotto Table'!D140</f>
        <v>0</v>
      </c>
      <c r="F144" s="33">
        <v>235</v>
      </c>
      <c r="G144" s="44">
        <f>'3-Digit Lotto Table'!D240</f>
        <v>0</v>
      </c>
      <c r="H144" s="33">
        <v>335</v>
      </c>
      <c r="I144" s="44">
        <f>'3-Digit Lotto Table'!D340</f>
        <v>0</v>
      </c>
      <c r="J144" s="33">
        <v>435</v>
      </c>
      <c r="K144" s="46">
        <f>'3-Digit Lotto Table'!D440</f>
        <v>0</v>
      </c>
      <c r="L144" s="31">
        <v>535</v>
      </c>
      <c r="M144" s="46">
        <f>'3-Digit Lotto Table'!D540</f>
        <v>0</v>
      </c>
      <c r="N144" s="31">
        <v>635</v>
      </c>
      <c r="O144" s="46">
        <f>'3-Digit Lotto Table'!D640</f>
        <v>0</v>
      </c>
      <c r="P144" s="31">
        <v>735</v>
      </c>
      <c r="Q144" s="46">
        <f>'3-Digit Lotto Table'!D740</f>
        <v>0</v>
      </c>
      <c r="R144" s="31">
        <v>835</v>
      </c>
      <c r="S144" s="46">
        <f>'3-Digit Lotto Table'!D840</f>
        <v>0</v>
      </c>
      <c r="T144" s="36">
        <v>935</v>
      </c>
      <c r="U144" s="48">
        <f>'3-Digit Lotto Table'!D940</f>
        <v>100</v>
      </c>
    </row>
    <row r="145" spans="2:21" x14ac:dyDescent="0.3">
      <c r="B145" s="32">
        <v>36</v>
      </c>
      <c r="C145" s="44">
        <f>'3-Digit Lotto Table'!D41</f>
        <v>0</v>
      </c>
      <c r="D145" s="33">
        <v>136</v>
      </c>
      <c r="E145" s="44">
        <f>'3-Digit Lotto Table'!D141</f>
        <v>0</v>
      </c>
      <c r="F145" s="33">
        <v>236</v>
      </c>
      <c r="G145" s="44">
        <f>'3-Digit Lotto Table'!D241</f>
        <v>0</v>
      </c>
      <c r="H145" s="33">
        <v>336</v>
      </c>
      <c r="I145" s="44">
        <f>'3-Digit Lotto Table'!D341</f>
        <v>0</v>
      </c>
      <c r="J145" s="33">
        <v>436</v>
      </c>
      <c r="K145" s="46">
        <f>'3-Digit Lotto Table'!D441</f>
        <v>0</v>
      </c>
      <c r="L145" s="31">
        <v>536</v>
      </c>
      <c r="M145" s="46">
        <f>'3-Digit Lotto Table'!D541</f>
        <v>0</v>
      </c>
      <c r="N145" s="31">
        <v>636</v>
      </c>
      <c r="O145" s="46">
        <f>'3-Digit Lotto Table'!D641</f>
        <v>0</v>
      </c>
      <c r="P145" s="31">
        <v>736</v>
      </c>
      <c r="Q145" s="46">
        <f>'3-Digit Lotto Table'!D741</f>
        <v>0</v>
      </c>
      <c r="R145" s="31">
        <v>836</v>
      </c>
      <c r="S145" s="46">
        <f>'3-Digit Lotto Table'!D841</f>
        <v>0</v>
      </c>
      <c r="T145" s="36">
        <v>936</v>
      </c>
      <c r="U145" s="48">
        <f>'3-Digit Lotto Table'!D941</f>
        <v>0</v>
      </c>
    </row>
    <row r="146" spans="2:21" x14ac:dyDescent="0.3">
      <c r="B146" s="32">
        <v>37</v>
      </c>
      <c r="C146" s="44">
        <f>'3-Digit Lotto Table'!D42</f>
        <v>0</v>
      </c>
      <c r="D146" s="33">
        <v>137</v>
      </c>
      <c r="E146" s="44">
        <f>'3-Digit Lotto Table'!D142</f>
        <v>0</v>
      </c>
      <c r="F146" s="33">
        <v>237</v>
      </c>
      <c r="G146" s="44">
        <f>'3-Digit Lotto Table'!D242</f>
        <v>0</v>
      </c>
      <c r="H146" s="33">
        <v>337</v>
      </c>
      <c r="I146" s="44">
        <f>'3-Digit Lotto Table'!D342</f>
        <v>0</v>
      </c>
      <c r="J146" s="33">
        <v>437</v>
      </c>
      <c r="K146" s="46">
        <f>'3-Digit Lotto Table'!D442</f>
        <v>0</v>
      </c>
      <c r="L146" s="31">
        <v>537</v>
      </c>
      <c r="M146" s="46">
        <f>'3-Digit Lotto Table'!D542</f>
        <v>0</v>
      </c>
      <c r="N146" s="31">
        <v>637</v>
      </c>
      <c r="O146" s="46">
        <f>'3-Digit Lotto Table'!D642</f>
        <v>0</v>
      </c>
      <c r="P146" s="31">
        <v>737</v>
      </c>
      <c r="Q146" s="46">
        <f>'3-Digit Lotto Table'!D742</f>
        <v>0</v>
      </c>
      <c r="R146" s="31">
        <v>837</v>
      </c>
      <c r="S146" s="46">
        <f>'3-Digit Lotto Table'!D842</f>
        <v>0</v>
      </c>
      <c r="T146" s="36">
        <v>937</v>
      </c>
      <c r="U146" s="48">
        <f>'3-Digit Lotto Table'!D942</f>
        <v>50</v>
      </c>
    </row>
    <row r="147" spans="2:21" x14ac:dyDescent="0.3">
      <c r="B147" s="32">
        <v>38</v>
      </c>
      <c r="C147" s="44">
        <f>'3-Digit Lotto Table'!D43</f>
        <v>0</v>
      </c>
      <c r="D147" s="33">
        <v>138</v>
      </c>
      <c r="E147" s="44">
        <f>'3-Digit Lotto Table'!D143</f>
        <v>0</v>
      </c>
      <c r="F147" s="33">
        <v>238</v>
      </c>
      <c r="G147" s="44">
        <f>'3-Digit Lotto Table'!D243</f>
        <v>0</v>
      </c>
      <c r="H147" s="33">
        <v>338</v>
      </c>
      <c r="I147" s="44">
        <f>'3-Digit Lotto Table'!D343</f>
        <v>0</v>
      </c>
      <c r="J147" s="33">
        <v>438</v>
      </c>
      <c r="K147" s="46">
        <f>'3-Digit Lotto Table'!D443</f>
        <v>0</v>
      </c>
      <c r="L147" s="31">
        <v>538</v>
      </c>
      <c r="M147" s="46">
        <f>'3-Digit Lotto Table'!D543</f>
        <v>200</v>
      </c>
      <c r="N147" s="31">
        <v>638</v>
      </c>
      <c r="O147" s="46">
        <f>'3-Digit Lotto Table'!D643</f>
        <v>50</v>
      </c>
      <c r="P147" s="31">
        <v>738</v>
      </c>
      <c r="Q147" s="46">
        <f>'3-Digit Lotto Table'!D743</f>
        <v>0</v>
      </c>
      <c r="R147" s="31">
        <v>838</v>
      </c>
      <c r="S147" s="46">
        <f>'3-Digit Lotto Table'!D843</f>
        <v>0</v>
      </c>
      <c r="T147" s="36">
        <v>938</v>
      </c>
      <c r="U147" s="48">
        <f>'3-Digit Lotto Table'!D943</f>
        <v>60</v>
      </c>
    </row>
    <row r="148" spans="2:21" x14ac:dyDescent="0.3">
      <c r="B148" s="32">
        <v>39</v>
      </c>
      <c r="C148" s="44">
        <f>'3-Digit Lotto Table'!D44</f>
        <v>0</v>
      </c>
      <c r="D148" s="33">
        <v>139</v>
      </c>
      <c r="E148" s="44">
        <f>'3-Digit Lotto Table'!D144</f>
        <v>0</v>
      </c>
      <c r="F148" s="33">
        <v>239</v>
      </c>
      <c r="G148" s="44">
        <f>'3-Digit Lotto Table'!D244</f>
        <v>100</v>
      </c>
      <c r="H148" s="33">
        <v>339</v>
      </c>
      <c r="I148" s="44">
        <f>'3-Digit Lotto Table'!D344</f>
        <v>0</v>
      </c>
      <c r="J148" s="33">
        <v>439</v>
      </c>
      <c r="K148" s="46">
        <f>'3-Digit Lotto Table'!D444</f>
        <v>0</v>
      </c>
      <c r="L148" s="31">
        <v>539</v>
      </c>
      <c r="M148" s="46">
        <f>'3-Digit Lotto Table'!D544</f>
        <v>0</v>
      </c>
      <c r="N148" s="31">
        <v>639</v>
      </c>
      <c r="O148" s="46">
        <f>'3-Digit Lotto Table'!D644</f>
        <v>0</v>
      </c>
      <c r="P148" s="31">
        <v>739</v>
      </c>
      <c r="Q148" s="46">
        <f>'3-Digit Lotto Table'!D744</f>
        <v>50</v>
      </c>
      <c r="R148" s="31">
        <v>839</v>
      </c>
      <c r="S148" s="46">
        <f>'3-Digit Lotto Table'!D844</f>
        <v>0</v>
      </c>
      <c r="T148" s="36">
        <v>939</v>
      </c>
      <c r="U148" s="48">
        <f>'3-Digit Lotto Table'!D944</f>
        <v>0</v>
      </c>
    </row>
    <row r="149" spans="2:21" x14ac:dyDescent="0.3">
      <c r="B149" s="32">
        <v>40</v>
      </c>
      <c r="C149" s="44">
        <f>'3-Digit Lotto Table'!D45</f>
        <v>0</v>
      </c>
      <c r="D149" s="33">
        <v>140</v>
      </c>
      <c r="E149" s="44">
        <f>'3-Digit Lotto Table'!D145</f>
        <v>0</v>
      </c>
      <c r="F149" s="33">
        <v>240</v>
      </c>
      <c r="G149" s="44">
        <f>'3-Digit Lotto Table'!D245</f>
        <v>0</v>
      </c>
      <c r="H149" s="33">
        <v>340</v>
      </c>
      <c r="I149" s="44">
        <f>'3-Digit Lotto Table'!D345</f>
        <v>0</v>
      </c>
      <c r="J149" s="33">
        <v>440</v>
      </c>
      <c r="K149" s="46">
        <f>'3-Digit Lotto Table'!D445</f>
        <v>0</v>
      </c>
      <c r="L149" s="31">
        <v>540</v>
      </c>
      <c r="M149" s="46">
        <f>'3-Digit Lotto Table'!D545</f>
        <v>0</v>
      </c>
      <c r="N149" s="31">
        <v>640</v>
      </c>
      <c r="O149" s="46">
        <f>'3-Digit Lotto Table'!D645</f>
        <v>0</v>
      </c>
      <c r="P149" s="31">
        <v>740</v>
      </c>
      <c r="Q149" s="46">
        <f>'3-Digit Lotto Table'!D745</f>
        <v>0</v>
      </c>
      <c r="R149" s="31">
        <v>840</v>
      </c>
      <c r="S149" s="46">
        <f>'3-Digit Lotto Table'!D845</f>
        <v>0</v>
      </c>
      <c r="T149" s="36">
        <v>940</v>
      </c>
      <c r="U149" s="48">
        <f>'3-Digit Lotto Table'!D945</f>
        <v>0</v>
      </c>
    </row>
    <row r="150" spans="2:21" x14ac:dyDescent="0.3">
      <c r="B150" s="32">
        <v>41</v>
      </c>
      <c r="C150" s="44">
        <f>'3-Digit Lotto Table'!D46</f>
        <v>0</v>
      </c>
      <c r="D150" s="33">
        <v>141</v>
      </c>
      <c r="E150" s="44">
        <f>'3-Digit Lotto Table'!D146</f>
        <v>0</v>
      </c>
      <c r="F150" s="33">
        <v>241</v>
      </c>
      <c r="G150" s="44">
        <f>'3-Digit Lotto Table'!D246</f>
        <v>0</v>
      </c>
      <c r="H150" s="33">
        <v>341</v>
      </c>
      <c r="I150" s="44">
        <f>'3-Digit Lotto Table'!D346</f>
        <v>0</v>
      </c>
      <c r="J150" s="33">
        <v>441</v>
      </c>
      <c r="K150" s="46">
        <f>'3-Digit Lotto Table'!D446</f>
        <v>0</v>
      </c>
      <c r="L150" s="31">
        <v>541</v>
      </c>
      <c r="M150" s="46">
        <f>'3-Digit Lotto Table'!D546</f>
        <v>0</v>
      </c>
      <c r="N150" s="31">
        <v>641</v>
      </c>
      <c r="O150" s="46">
        <f>'3-Digit Lotto Table'!D646</f>
        <v>0</v>
      </c>
      <c r="P150" s="31">
        <v>741</v>
      </c>
      <c r="Q150" s="46">
        <f>'3-Digit Lotto Table'!D746</f>
        <v>0</v>
      </c>
      <c r="R150" s="31">
        <v>841</v>
      </c>
      <c r="S150" s="46">
        <f>'3-Digit Lotto Table'!D846</f>
        <v>0</v>
      </c>
      <c r="T150" s="36">
        <v>941</v>
      </c>
      <c r="U150" s="48">
        <f>'3-Digit Lotto Table'!D946</f>
        <v>0</v>
      </c>
    </row>
    <row r="151" spans="2:21" x14ac:dyDescent="0.3">
      <c r="B151" s="32">
        <v>42</v>
      </c>
      <c r="C151" s="44">
        <f>'3-Digit Lotto Table'!D47</f>
        <v>0</v>
      </c>
      <c r="D151" s="33">
        <v>142</v>
      </c>
      <c r="E151" s="44">
        <f>'3-Digit Lotto Table'!D147</f>
        <v>0</v>
      </c>
      <c r="F151" s="33">
        <v>242</v>
      </c>
      <c r="G151" s="44">
        <f>'3-Digit Lotto Table'!D247</f>
        <v>0</v>
      </c>
      <c r="H151" s="33">
        <v>342</v>
      </c>
      <c r="I151" s="44">
        <f>'3-Digit Lotto Table'!D347</f>
        <v>0</v>
      </c>
      <c r="J151" s="33">
        <v>442</v>
      </c>
      <c r="K151" s="46">
        <f>'3-Digit Lotto Table'!D447</f>
        <v>0</v>
      </c>
      <c r="L151" s="31">
        <v>542</v>
      </c>
      <c r="M151" s="46">
        <f>'3-Digit Lotto Table'!D547</f>
        <v>0</v>
      </c>
      <c r="N151" s="31">
        <v>642</v>
      </c>
      <c r="O151" s="46">
        <f>'3-Digit Lotto Table'!D647</f>
        <v>0</v>
      </c>
      <c r="P151" s="31">
        <v>742</v>
      </c>
      <c r="Q151" s="46">
        <f>'3-Digit Lotto Table'!D747</f>
        <v>0</v>
      </c>
      <c r="R151" s="31">
        <v>842</v>
      </c>
      <c r="S151" s="46">
        <f>'3-Digit Lotto Table'!D847</f>
        <v>0</v>
      </c>
      <c r="T151" s="36">
        <v>942</v>
      </c>
      <c r="U151" s="48">
        <f>'3-Digit Lotto Table'!D947</f>
        <v>0</v>
      </c>
    </row>
    <row r="152" spans="2:21" x14ac:dyDescent="0.3">
      <c r="B152" s="32">
        <v>43</v>
      </c>
      <c r="C152" s="44">
        <f>'3-Digit Lotto Table'!D48</f>
        <v>0</v>
      </c>
      <c r="D152" s="33">
        <v>143</v>
      </c>
      <c r="E152" s="44">
        <f>'3-Digit Lotto Table'!D148</f>
        <v>0</v>
      </c>
      <c r="F152" s="33">
        <v>243</v>
      </c>
      <c r="G152" s="44">
        <f>'3-Digit Lotto Table'!D248</f>
        <v>0</v>
      </c>
      <c r="H152" s="33">
        <v>343</v>
      </c>
      <c r="I152" s="44">
        <f>'3-Digit Lotto Table'!D348</f>
        <v>300</v>
      </c>
      <c r="J152" s="33">
        <v>443</v>
      </c>
      <c r="K152" s="46">
        <f>'3-Digit Lotto Table'!D448</f>
        <v>0</v>
      </c>
      <c r="L152" s="31">
        <v>543</v>
      </c>
      <c r="M152" s="46">
        <f>'3-Digit Lotto Table'!D548</f>
        <v>300</v>
      </c>
      <c r="N152" s="31">
        <v>643</v>
      </c>
      <c r="O152" s="46">
        <f>'3-Digit Lotto Table'!D648</f>
        <v>0</v>
      </c>
      <c r="P152" s="31">
        <v>743</v>
      </c>
      <c r="Q152" s="46">
        <f>'3-Digit Lotto Table'!D748</f>
        <v>0</v>
      </c>
      <c r="R152" s="31">
        <v>843</v>
      </c>
      <c r="S152" s="46">
        <f>'3-Digit Lotto Table'!D848</f>
        <v>0</v>
      </c>
      <c r="T152" s="36">
        <v>943</v>
      </c>
      <c r="U152" s="48">
        <f>'3-Digit Lotto Table'!D948</f>
        <v>0</v>
      </c>
    </row>
    <row r="153" spans="2:21" x14ac:dyDescent="0.3">
      <c r="B153" s="32">
        <v>44</v>
      </c>
      <c r="C153" s="44">
        <f>'3-Digit Lotto Table'!D49</f>
        <v>0</v>
      </c>
      <c r="D153" s="33">
        <v>144</v>
      </c>
      <c r="E153" s="44">
        <f>'3-Digit Lotto Table'!D149</f>
        <v>0</v>
      </c>
      <c r="F153" s="33">
        <v>244</v>
      </c>
      <c r="G153" s="44">
        <f>'3-Digit Lotto Table'!D249</f>
        <v>0</v>
      </c>
      <c r="H153" s="33">
        <v>344</v>
      </c>
      <c r="I153" s="44">
        <f>'3-Digit Lotto Table'!D349</f>
        <v>0</v>
      </c>
      <c r="J153" s="33">
        <v>444</v>
      </c>
      <c r="K153" s="46">
        <f>'3-Digit Lotto Table'!D449</f>
        <v>0</v>
      </c>
      <c r="L153" s="31">
        <v>544</v>
      </c>
      <c r="M153" s="46">
        <f>'3-Digit Lotto Table'!D549</f>
        <v>0</v>
      </c>
      <c r="N153" s="31">
        <v>644</v>
      </c>
      <c r="O153" s="46">
        <f>'3-Digit Lotto Table'!D649</f>
        <v>0</v>
      </c>
      <c r="P153" s="31">
        <v>744</v>
      </c>
      <c r="Q153" s="46">
        <f>'3-Digit Lotto Table'!D749</f>
        <v>0</v>
      </c>
      <c r="R153" s="31">
        <v>844</v>
      </c>
      <c r="S153" s="46">
        <f>'3-Digit Lotto Table'!D849</f>
        <v>0</v>
      </c>
      <c r="T153" s="36">
        <v>944</v>
      </c>
      <c r="U153" s="48">
        <f>'3-Digit Lotto Table'!D949</f>
        <v>0</v>
      </c>
    </row>
    <row r="154" spans="2:21" x14ac:dyDescent="0.3">
      <c r="B154" s="32">
        <v>45</v>
      </c>
      <c r="C154" s="44">
        <f>'3-Digit Lotto Table'!D50</f>
        <v>100</v>
      </c>
      <c r="D154" s="33">
        <v>145</v>
      </c>
      <c r="E154" s="44">
        <f>'3-Digit Lotto Table'!D150</f>
        <v>0</v>
      </c>
      <c r="F154" s="33">
        <v>245</v>
      </c>
      <c r="G154" s="44">
        <f>'3-Digit Lotto Table'!D250</f>
        <v>100</v>
      </c>
      <c r="H154" s="33">
        <v>345</v>
      </c>
      <c r="I154" s="44">
        <f>'3-Digit Lotto Table'!D350</f>
        <v>0</v>
      </c>
      <c r="J154" s="33">
        <v>445</v>
      </c>
      <c r="K154" s="46">
        <f>'3-Digit Lotto Table'!D450</f>
        <v>0</v>
      </c>
      <c r="L154" s="31">
        <v>545</v>
      </c>
      <c r="M154" s="46">
        <f>'3-Digit Lotto Table'!D550</f>
        <v>0</v>
      </c>
      <c r="N154" s="31">
        <v>645</v>
      </c>
      <c r="O154" s="46">
        <f>'3-Digit Lotto Table'!D650</f>
        <v>0</v>
      </c>
      <c r="P154" s="31">
        <v>745</v>
      </c>
      <c r="Q154" s="46">
        <f>'3-Digit Lotto Table'!D750</f>
        <v>0</v>
      </c>
      <c r="R154" s="31">
        <v>845</v>
      </c>
      <c r="S154" s="46">
        <f>'3-Digit Lotto Table'!D850</f>
        <v>0</v>
      </c>
      <c r="T154" s="36">
        <v>945</v>
      </c>
      <c r="U154" s="48">
        <f>'3-Digit Lotto Table'!D950</f>
        <v>130</v>
      </c>
    </row>
    <row r="155" spans="2:21" x14ac:dyDescent="0.3">
      <c r="B155" s="32">
        <v>46</v>
      </c>
      <c r="C155" s="44">
        <f>'3-Digit Lotto Table'!D51</f>
        <v>0</v>
      </c>
      <c r="D155" s="33">
        <v>146</v>
      </c>
      <c r="E155" s="44">
        <f>'3-Digit Lotto Table'!D151</f>
        <v>0</v>
      </c>
      <c r="F155" s="33">
        <v>246</v>
      </c>
      <c r="G155" s="44">
        <f>'3-Digit Lotto Table'!D251</f>
        <v>0</v>
      </c>
      <c r="H155" s="33">
        <v>346</v>
      </c>
      <c r="I155" s="44">
        <f>'3-Digit Lotto Table'!D351</f>
        <v>0</v>
      </c>
      <c r="J155" s="33">
        <v>446</v>
      </c>
      <c r="K155" s="46">
        <f>'3-Digit Lotto Table'!D451</f>
        <v>0</v>
      </c>
      <c r="L155" s="31">
        <v>546</v>
      </c>
      <c r="M155" s="46">
        <f>'3-Digit Lotto Table'!D551</f>
        <v>100</v>
      </c>
      <c r="N155" s="31">
        <v>646</v>
      </c>
      <c r="O155" s="46">
        <f>'3-Digit Lotto Table'!D651</f>
        <v>0</v>
      </c>
      <c r="P155" s="31">
        <v>746</v>
      </c>
      <c r="Q155" s="46">
        <f>'3-Digit Lotto Table'!D751</f>
        <v>0</v>
      </c>
      <c r="R155" s="31">
        <v>846</v>
      </c>
      <c r="S155" s="46">
        <f>'3-Digit Lotto Table'!D851</f>
        <v>0</v>
      </c>
      <c r="T155" s="36">
        <v>946</v>
      </c>
      <c r="U155" s="48">
        <f>'3-Digit Lotto Table'!D951</f>
        <v>0</v>
      </c>
    </row>
    <row r="156" spans="2:21" x14ac:dyDescent="0.3">
      <c r="B156" s="32">
        <v>47</v>
      </c>
      <c r="C156" s="44">
        <f>'3-Digit Lotto Table'!D52</f>
        <v>0</v>
      </c>
      <c r="D156" s="33">
        <v>147</v>
      </c>
      <c r="E156" s="44">
        <f>'3-Digit Lotto Table'!D152</f>
        <v>50</v>
      </c>
      <c r="F156" s="33">
        <v>247</v>
      </c>
      <c r="G156" s="44">
        <f>'3-Digit Lotto Table'!D252</f>
        <v>0</v>
      </c>
      <c r="H156" s="33">
        <v>347</v>
      </c>
      <c r="I156" s="44">
        <f>'3-Digit Lotto Table'!D352</f>
        <v>0</v>
      </c>
      <c r="J156" s="33">
        <v>447</v>
      </c>
      <c r="K156" s="46">
        <f>'3-Digit Lotto Table'!D452</f>
        <v>0</v>
      </c>
      <c r="L156" s="31">
        <v>547</v>
      </c>
      <c r="M156" s="46">
        <f>'3-Digit Lotto Table'!D552</f>
        <v>0</v>
      </c>
      <c r="N156" s="31">
        <v>647</v>
      </c>
      <c r="O156" s="46">
        <f>'3-Digit Lotto Table'!D652</f>
        <v>0</v>
      </c>
      <c r="P156" s="31">
        <v>747</v>
      </c>
      <c r="Q156" s="46">
        <f>'3-Digit Lotto Table'!D752</f>
        <v>0</v>
      </c>
      <c r="R156" s="31">
        <v>847</v>
      </c>
      <c r="S156" s="46">
        <f>'3-Digit Lotto Table'!D852</f>
        <v>0</v>
      </c>
      <c r="T156" s="36">
        <v>947</v>
      </c>
      <c r="U156" s="48">
        <f>'3-Digit Lotto Table'!D952</f>
        <v>20</v>
      </c>
    </row>
    <row r="157" spans="2:21" x14ac:dyDescent="0.3">
      <c r="B157" s="32">
        <v>48</v>
      </c>
      <c r="C157" s="44">
        <f>'3-Digit Lotto Table'!D53</f>
        <v>0</v>
      </c>
      <c r="D157" s="33">
        <v>148</v>
      </c>
      <c r="E157" s="44">
        <f>'3-Digit Lotto Table'!D153</f>
        <v>0</v>
      </c>
      <c r="F157" s="33">
        <v>248</v>
      </c>
      <c r="G157" s="44">
        <f>'3-Digit Lotto Table'!D253</f>
        <v>0</v>
      </c>
      <c r="H157" s="33">
        <v>348</v>
      </c>
      <c r="I157" s="44">
        <f>'3-Digit Lotto Table'!D353</f>
        <v>0</v>
      </c>
      <c r="J157" s="33">
        <v>448</v>
      </c>
      <c r="K157" s="46">
        <f>'3-Digit Lotto Table'!D453</f>
        <v>0</v>
      </c>
      <c r="L157" s="31">
        <v>548</v>
      </c>
      <c r="M157" s="46">
        <f>'3-Digit Lotto Table'!D553</f>
        <v>0</v>
      </c>
      <c r="N157" s="31">
        <v>648</v>
      </c>
      <c r="O157" s="46">
        <f>'3-Digit Lotto Table'!D653</f>
        <v>20</v>
      </c>
      <c r="P157" s="31">
        <v>748</v>
      </c>
      <c r="Q157" s="46">
        <f>'3-Digit Lotto Table'!D753</f>
        <v>0</v>
      </c>
      <c r="R157" s="31">
        <v>848</v>
      </c>
      <c r="S157" s="46">
        <f>'3-Digit Lotto Table'!D853</f>
        <v>0</v>
      </c>
      <c r="T157" s="36">
        <v>948</v>
      </c>
      <c r="U157" s="48">
        <f>'3-Digit Lotto Table'!D953</f>
        <v>0</v>
      </c>
    </row>
    <row r="158" spans="2:21" x14ac:dyDescent="0.3">
      <c r="B158" s="32">
        <v>49</v>
      </c>
      <c r="C158" s="44">
        <f>'3-Digit Lotto Table'!D54</f>
        <v>0</v>
      </c>
      <c r="D158" s="33">
        <v>149</v>
      </c>
      <c r="E158" s="44">
        <f>'3-Digit Lotto Table'!D154</f>
        <v>0</v>
      </c>
      <c r="F158" s="33">
        <v>249</v>
      </c>
      <c r="G158" s="44">
        <f>'3-Digit Lotto Table'!D254</f>
        <v>0</v>
      </c>
      <c r="H158" s="33">
        <v>349</v>
      </c>
      <c r="I158" s="44">
        <f>'3-Digit Lotto Table'!D354</f>
        <v>0</v>
      </c>
      <c r="J158" s="33">
        <v>449</v>
      </c>
      <c r="K158" s="46">
        <f>'3-Digit Lotto Table'!D454</f>
        <v>0</v>
      </c>
      <c r="L158" s="31">
        <v>549</v>
      </c>
      <c r="M158" s="46">
        <f>'3-Digit Lotto Table'!D554</f>
        <v>0</v>
      </c>
      <c r="N158" s="31">
        <v>649</v>
      </c>
      <c r="O158" s="46">
        <f>'3-Digit Lotto Table'!D654</f>
        <v>0</v>
      </c>
      <c r="P158" s="31">
        <v>749</v>
      </c>
      <c r="Q158" s="46">
        <f>'3-Digit Lotto Table'!D754</f>
        <v>0</v>
      </c>
      <c r="R158" s="31">
        <v>849</v>
      </c>
      <c r="S158" s="46">
        <f>'3-Digit Lotto Table'!D854</f>
        <v>0</v>
      </c>
      <c r="T158" s="36">
        <v>949</v>
      </c>
      <c r="U158" s="48">
        <f>'3-Digit Lotto Table'!D954</f>
        <v>0</v>
      </c>
    </row>
    <row r="159" spans="2:21" x14ac:dyDescent="0.3">
      <c r="B159" s="32">
        <v>50</v>
      </c>
      <c r="C159" s="44">
        <f>'3-Digit Lotto Table'!D55</f>
        <v>0</v>
      </c>
      <c r="D159" s="33">
        <v>150</v>
      </c>
      <c r="E159" s="44">
        <f>'3-Digit Lotto Table'!D155</f>
        <v>0</v>
      </c>
      <c r="F159" s="33">
        <v>250</v>
      </c>
      <c r="G159" s="44">
        <f>'3-Digit Lotto Table'!D255</f>
        <v>0</v>
      </c>
      <c r="H159" s="33">
        <v>350</v>
      </c>
      <c r="I159" s="44">
        <f>'3-Digit Lotto Table'!D355</f>
        <v>0</v>
      </c>
      <c r="J159" s="33">
        <v>450</v>
      </c>
      <c r="K159" s="46">
        <f>'3-Digit Lotto Table'!D455</f>
        <v>50</v>
      </c>
      <c r="L159" s="31">
        <v>550</v>
      </c>
      <c r="M159" s="46">
        <f>'3-Digit Lotto Table'!D555</f>
        <v>0</v>
      </c>
      <c r="N159" s="31">
        <v>650</v>
      </c>
      <c r="O159" s="46">
        <f>'3-Digit Lotto Table'!D655</f>
        <v>0</v>
      </c>
      <c r="P159" s="31">
        <v>750</v>
      </c>
      <c r="Q159" s="46">
        <f>'3-Digit Lotto Table'!D755</f>
        <v>0</v>
      </c>
      <c r="R159" s="31">
        <v>850</v>
      </c>
      <c r="S159" s="46">
        <f>'3-Digit Lotto Table'!D855</f>
        <v>0</v>
      </c>
      <c r="T159" s="36">
        <v>950</v>
      </c>
      <c r="U159" s="48">
        <f>'3-Digit Lotto Table'!D955</f>
        <v>0</v>
      </c>
    </row>
    <row r="160" spans="2:21" x14ac:dyDescent="0.3">
      <c r="B160" s="32">
        <v>51</v>
      </c>
      <c r="C160" s="44">
        <f>'3-Digit Lotto Table'!D56</f>
        <v>0</v>
      </c>
      <c r="D160" s="33">
        <v>151</v>
      </c>
      <c r="E160" s="44">
        <f>'3-Digit Lotto Table'!D156</f>
        <v>0</v>
      </c>
      <c r="F160" s="33">
        <v>251</v>
      </c>
      <c r="G160" s="44">
        <f>'3-Digit Lotto Table'!D256</f>
        <v>0</v>
      </c>
      <c r="H160" s="33">
        <v>351</v>
      </c>
      <c r="I160" s="44">
        <f>'3-Digit Lotto Table'!D356</f>
        <v>0</v>
      </c>
      <c r="J160" s="33">
        <v>451</v>
      </c>
      <c r="K160" s="46">
        <f>'3-Digit Lotto Table'!D456</f>
        <v>0</v>
      </c>
      <c r="L160" s="31">
        <v>551</v>
      </c>
      <c r="M160" s="46">
        <f>'3-Digit Lotto Table'!D556</f>
        <v>0</v>
      </c>
      <c r="N160" s="31">
        <v>651</v>
      </c>
      <c r="O160" s="46">
        <f>'3-Digit Lotto Table'!D656</f>
        <v>50</v>
      </c>
      <c r="P160" s="31">
        <v>751</v>
      </c>
      <c r="Q160" s="46">
        <f>'3-Digit Lotto Table'!D756</f>
        <v>0</v>
      </c>
      <c r="R160" s="31">
        <v>851</v>
      </c>
      <c r="S160" s="46">
        <f>'3-Digit Lotto Table'!D856</f>
        <v>50</v>
      </c>
      <c r="T160" s="36">
        <v>951</v>
      </c>
      <c r="U160" s="48">
        <f>'3-Digit Lotto Table'!D956</f>
        <v>50</v>
      </c>
    </row>
    <row r="161" spans="2:21" x14ac:dyDescent="0.3">
      <c r="B161" s="32">
        <v>52</v>
      </c>
      <c r="C161" s="44">
        <f>'3-Digit Lotto Table'!D57</f>
        <v>0</v>
      </c>
      <c r="D161" s="33">
        <v>152</v>
      </c>
      <c r="E161" s="44">
        <f>'3-Digit Lotto Table'!D157</f>
        <v>0</v>
      </c>
      <c r="F161" s="33">
        <v>252</v>
      </c>
      <c r="G161" s="44">
        <f>'3-Digit Lotto Table'!D257</f>
        <v>0</v>
      </c>
      <c r="H161" s="33">
        <v>352</v>
      </c>
      <c r="I161" s="44">
        <f>'3-Digit Lotto Table'!D357</f>
        <v>0</v>
      </c>
      <c r="J161" s="33">
        <v>452</v>
      </c>
      <c r="K161" s="46">
        <f>'3-Digit Lotto Table'!D457</f>
        <v>0</v>
      </c>
      <c r="L161" s="31">
        <v>552</v>
      </c>
      <c r="M161" s="46">
        <f>'3-Digit Lotto Table'!D557</f>
        <v>0</v>
      </c>
      <c r="N161" s="31">
        <v>652</v>
      </c>
      <c r="O161" s="46">
        <f>'3-Digit Lotto Table'!D657</f>
        <v>0</v>
      </c>
      <c r="P161" s="31">
        <v>752</v>
      </c>
      <c r="Q161" s="46">
        <f>'3-Digit Lotto Table'!D757</f>
        <v>0</v>
      </c>
      <c r="R161" s="31">
        <v>852</v>
      </c>
      <c r="S161" s="46">
        <f>'3-Digit Lotto Table'!D857</f>
        <v>0</v>
      </c>
      <c r="T161" s="36">
        <v>952</v>
      </c>
      <c r="U161" s="48">
        <f>'3-Digit Lotto Table'!D957</f>
        <v>0</v>
      </c>
    </row>
    <row r="162" spans="2:21" x14ac:dyDescent="0.3">
      <c r="B162" s="32">
        <v>53</v>
      </c>
      <c r="C162" s="44">
        <f>'3-Digit Lotto Table'!D58</f>
        <v>0</v>
      </c>
      <c r="D162" s="33">
        <v>153</v>
      </c>
      <c r="E162" s="44">
        <f>'3-Digit Lotto Table'!D158</f>
        <v>0</v>
      </c>
      <c r="F162" s="33">
        <v>253</v>
      </c>
      <c r="G162" s="44">
        <f>'3-Digit Lotto Table'!D258</f>
        <v>0</v>
      </c>
      <c r="H162" s="33">
        <v>353</v>
      </c>
      <c r="I162" s="44">
        <f>'3-Digit Lotto Table'!D358</f>
        <v>0</v>
      </c>
      <c r="J162" s="33">
        <v>453</v>
      </c>
      <c r="K162" s="46">
        <f>'3-Digit Lotto Table'!D458</f>
        <v>0</v>
      </c>
      <c r="L162" s="31">
        <v>553</v>
      </c>
      <c r="M162" s="46">
        <f>'3-Digit Lotto Table'!D558</f>
        <v>0</v>
      </c>
      <c r="N162" s="31">
        <v>653</v>
      </c>
      <c r="O162" s="46">
        <f>'3-Digit Lotto Table'!D658</f>
        <v>0</v>
      </c>
      <c r="P162" s="31">
        <v>753</v>
      </c>
      <c r="Q162" s="46">
        <f>'3-Digit Lotto Table'!D758</f>
        <v>0</v>
      </c>
      <c r="R162" s="31">
        <v>853</v>
      </c>
      <c r="S162" s="46">
        <f>'3-Digit Lotto Table'!D858</f>
        <v>0</v>
      </c>
      <c r="T162" s="36">
        <v>953</v>
      </c>
      <c r="U162" s="48">
        <f>'3-Digit Lotto Table'!D958</f>
        <v>0</v>
      </c>
    </row>
    <row r="163" spans="2:21" x14ac:dyDescent="0.3">
      <c r="B163" s="32">
        <v>54</v>
      </c>
      <c r="C163" s="44">
        <f>'3-Digit Lotto Table'!D59</f>
        <v>0</v>
      </c>
      <c r="D163" s="33">
        <v>154</v>
      </c>
      <c r="E163" s="44">
        <f>'3-Digit Lotto Table'!D159</f>
        <v>0</v>
      </c>
      <c r="F163" s="33">
        <v>254</v>
      </c>
      <c r="G163" s="44">
        <f>'3-Digit Lotto Table'!D259</f>
        <v>0</v>
      </c>
      <c r="H163" s="33">
        <v>354</v>
      </c>
      <c r="I163" s="44">
        <f>'3-Digit Lotto Table'!D359</f>
        <v>0</v>
      </c>
      <c r="J163" s="33">
        <v>454</v>
      </c>
      <c r="K163" s="46">
        <f>'3-Digit Lotto Table'!D459</f>
        <v>0</v>
      </c>
      <c r="L163" s="31">
        <v>554</v>
      </c>
      <c r="M163" s="46">
        <f>'3-Digit Lotto Table'!D559</f>
        <v>0</v>
      </c>
      <c r="N163" s="31">
        <v>654</v>
      </c>
      <c r="O163" s="46">
        <f>'3-Digit Lotto Table'!D659</f>
        <v>0</v>
      </c>
      <c r="P163" s="31">
        <v>754</v>
      </c>
      <c r="Q163" s="46">
        <f>'3-Digit Lotto Table'!D759</f>
        <v>0</v>
      </c>
      <c r="R163" s="31">
        <v>854</v>
      </c>
      <c r="S163" s="46">
        <f>'3-Digit Lotto Table'!D859</f>
        <v>0</v>
      </c>
      <c r="T163" s="36">
        <v>954</v>
      </c>
      <c r="U163" s="48">
        <f>'3-Digit Lotto Table'!D959</f>
        <v>0</v>
      </c>
    </row>
    <row r="164" spans="2:21" x14ac:dyDescent="0.3">
      <c r="B164" s="32">
        <v>55</v>
      </c>
      <c r="C164" s="44">
        <f>'3-Digit Lotto Table'!D60</f>
        <v>0</v>
      </c>
      <c r="D164" s="33">
        <v>155</v>
      </c>
      <c r="E164" s="44">
        <f>'3-Digit Lotto Table'!D160</f>
        <v>0</v>
      </c>
      <c r="F164" s="33">
        <v>255</v>
      </c>
      <c r="G164" s="44">
        <f>'3-Digit Lotto Table'!D260</f>
        <v>100</v>
      </c>
      <c r="H164" s="33">
        <v>355</v>
      </c>
      <c r="I164" s="44">
        <f>'3-Digit Lotto Table'!D360</f>
        <v>0</v>
      </c>
      <c r="J164" s="33">
        <v>455</v>
      </c>
      <c r="K164" s="46">
        <f>'3-Digit Lotto Table'!D460</f>
        <v>0</v>
      </c>
      <c r="L164" s="31">
        <v>555</v>
      </c>
      <c r="M164" s="46">
        <f>'3-Digit Lotto Table'!D560</f>
        <v>0</v>
      </c>
      <c r="N164" s="31">
        <v>655</v>
      </c>
      <c r="O164" s="46">
        <f>'3-Digit Lotto Table'!D660</f>
        <v>0</v>
      </c>
      <c r="P164" s="31">
        <v>755</v>
      </c>
      <c r="Q164" s="46">
        <f>'3-Digit Lotto Table'!D760</f>
        <v>0</v>
      </c>
      <c r="R164" s="31">
        <v>855</v>
      </c>
      <c r="S164" s="46">
        <f>'3-Digit Lotto Table'!D860</f>
        <v>100</v>
      </c>
      <c r="T164" s="36">
        <v>955</v>
      </c>
      <c r="U164" s="48">
        <f>'3-Digit Lotto Table'!D960</f>
        <v>0</v>
      </c>
    </row>
    <row r="165" spans="2:21" x14ac:dyDescent="0.3">
      <c r="B165" s="32">
        <v>56</v>
      </c>
      <c r="C165" s="44">
        <f>'3-Digit Lotto Table'!D61</f>
        <v>0</v>
      </c>
      <c r="D165" s="33">
        <v>156</v>
      </c>
      <c r="E165" s="44">
        <f>'3-Digit Lotto Table'!D161</f>
        <v>0</v>
      </c>
      <c r="F165" s="33">
        <v>256</v>
      </c>
      <c r="G165" s="44">
        <f>'3-Digit Lotto Table'!D261</f>
        <v>0</v>
      </c>
      <c r="H165" s="33">
        <v>356</v>
      </c>
      <c r="I165" s="44">
        <f>'3-Digit Lotto Table'!D361</f>
        <v>0</v>
      </c>
      <c r="J165" s="33">
        <v>456</v>
      </c>
      <c r="K165" s="46">
        <f>'3-Digit Lotto Table'!D461</f>
        <v>0</v>
      </c>
      <c r="L165" s="31">
        <v>556</v>
      </c>
      <c r="M165" s="46">
        <f>'3-Digit Lotto Table'!D561</f>
        <v>0</v>
      </c>
      <c r="N165" s="31">
        <v>656</v>
      </c>
      <c r="O165" s="46">
        <f>'3-Digit Lotto Table'!D661</f>
        <v>0</v>
      </c>
      <c r="P165" s="31">
        <v>756</v>
      </c>
      <c r="Q165" s="46">
        <f>'3-Digit Lotto Table'!D761</f>
        <v>0</v>
      </c>
      <c r="R165" s="31">
        <v>856</v>
      </c>
      <c r="S165" s="46">
        <f>'3-Digit Lotto Table'!D861</f>
        <v>50</v>
      </c>
      <c r="T165" s="36">
        <v>956</v>
      </c>
      <c r="U165" s="48">
        <f>'3-Digit Lotto Table'!D961</f>
        <v>0</v>
      </c>
    </row>
    <row r="166" spans="2:21" x14ac:dyDescent="0.3">
      <c r="B166" s="32">
        <v>57</v>
      </c>
      <c r="C166" s="44">
        <f>'3-Digit Lotto Table'!D62</f>
        <v>0</v>
      </c>
      <c r="D166" s="33">
        <v>157</v>
      </c>
      <c r="E166" s="44">
        <f>'3-Digit Lotto Table'!D162</f>
        <v>0</v>
      </c>
      <c r="F166" s="33">
        <v>257</v>
      </c>
      <c r="G166" s="44">
        <f>'3-Digit Lotto Table'!D262</f>
        <v>100</v>
      </c>
      <c r="H166" s="33">
        <v>357</v>
      </c>
      <c r="I166" s="44">
        <f>'3-Digit Lotto Table'!D362</f>
        <v>200</v>
      </c>
      <c r="J166" s="33">
        <v>457</v>
      </c>
      <c r="K166" s="46">
        <f>'3-Digit Lotto Table'!D462</f>
        <v>0</v>
      </c>
      <c r="L166" s="31">
        <v>557</v>
      </c>
      <c r="M166" s="46">
        <f>'3-Digit Lotto Table'!D562</f>
        <v>0</v>
      </c>
      <c r="N166" s="31">
        <v>657</v>
      </c>
      <c r="O166" s="46">
        <f>'3-Digit Lotto Table'!D662</f>
        <v>0</v>
      </c>
      <c r="P166" s="31">
        <v>757</v>
      </c>
      <c r="Q166" s="46">
        <f>'3-Digit Lotto Table'!D762</f>
        <v>0</v>
      </c>
      <c r="R166" s="31">
        <v>857</v>
      </c>
      <c r="S166" s="46">
        <f>'3-Digit Lotto Table'!D862</f>
        <v>20</v>
      </c>
      <c r="T166" s="36">
        <v>957</v>
      </c>
      <c r="U166" s="48">
        <f>'3-Digit Lotto Table'!D962</f>
        <v>100</v>
      </c>
    </row>
    <row r="167" spans="2:21" x14ac:dyDescent="0.3">
      <c r="B167" s="32">
        <v>58</v>
      </c>
      <c r="C167" s="44">
        <f>'3-Digit Lotto Table'!D63</f>
        <v>0</v>
      </c>
      <c r="D167" s="33">
        <v>158</v>
      </c>
      <c r="E167" s="44">
        <f>'3-Digit Lotto Table'!D163</f>
        <v>50</v>
      </c>
      <c r="F167" s="33">
        <v>258</v>
      </c>
      <c r="G167" s="44">
        <f>'3-Digit Lotto Table'!D263</f>
        <v>0</v>
      </c>
      <c r="H167" s="33">
        <v>358</v>
      </c>
      <c r="I167" s="44">
        <f>'3-Digit Lotto Table'!D363</f>
        <v>0</v>
      </c>
      <c r="J167" s="33">
        <v>458</v>
      </c>
      <c r="K167" s="46">
        <f>'3-Digit Lotto Table'!D463</f>
        <v>0</v>
      </c>
      <c r="L167" s="31">
        <v>558</v>
      </c>
      <c r="M167" s="46">
        <f>'3-Digit Lotto Table'!D563</f>
        <v>0</v>
      </c>
      <c r="N167" s="31">
        <v>658</v>
      </c>
      <c r="O167" s="46">
        <f>'3-Digit Lotto Table'!D663</f>
        <v>50</v>
      </c>
      <c r="P167" s="31">
        <v>758</v>
      </c>
      <c r="Q167" s="46">
        <f>'3-Digit Lotto Table'!D763</f>
        <v>100</v>
      </c>
      <c r="R167" s="31">
        <v>858</v>
      </c>
      <c r="S167" s="46">
        <f>'3-Digit Lotto Table'!D863</f>
        <v>0</v>
      </c>
      <c r="T167" s="36">
        <v>958</v>
      </c>
      <c r="U167" s="48">
        <f>'3-Digit Lotto Table'!D963</f>
        <v>250</v>
      </c>
    </row>
    <row r="168" spans="2:21" x14ac:dyDescent="0.3">
      <c r="B168" s="32">
        <v>59</v>
      </c>
      <c r="C168" s="44">
        <f>'3-Digit Lotto Table'!D64</f>
        <v>0</v>
      </c>
      <c r="D168" s="33">
        <v>159</v>
      </c>
      <c r="E168" s="44">
        <f>'3-Digit Lotto Table'!D164</f>
        <v>0</v>
      </c>
      <c r="F168" s="33">
        <v>259</v>
      </c>
      <c r="G168" s="44">
        <f>'3-Digit Lotto Table'!D264</f>
        <v>0</v>
      </c>
      <c r="H168" s="33">
        <v>359</v>
      </c>
      <c r="I168" s="44">
        <f>'3-Digit Lotto Table'!D364</f>
        <v>0</v>
      </c>
      <c r="J168" s="33">
        <v>459</v>
      </c>
      <c r="K168" s="46">
        <f>'3-Digit Lotto Table'!D464</f>
        <v>0</v>
      </c>
      <c r="L168" s="31">
        <v>559</v>
      </c>
      <c r="M168" s="46">
        <f>'3-Digit Lotto Table'!D564</f>
        <v>0</v>
      </c>
      <c r="N168" s="31">
        <v>659</v>
      </c>
      <c r="O168" s="46">
        <f>'3-Digit Lotto Table'!D664</f>
        <v>0</v>
      </c>
      <c r="P168" s="31">
        <v>759</v>
      </c>
      <c r="Q168" s="46">
        <f>'3-Digit Lotto Table'!D764</f>
        <v>0</v>
      </c>
      <c r="R168" s="31">
        <v>859</v>
      </c>
      <c r="S168" s="46">
        <f>'3-Digit Lotto Table'!D864</f>
        <v>50</v>
      </c>
      <c r="T168" s="36">
        <v>959</v>
      </c>
      <c r="U168" s="48">
        <f>'3-Digit Lotto Table'!D964</f>
        <v>0</v>
      </c>
    </row>
    <row r="169" spans="2:21" x14ac:dyDescent="0.3">
      <c r="B169" s="32">
        <v>60</v>
      </c>
      <c r="C169" s="44">
        <f>'3-Digit Lotto Table'!D65</f>
        <v>0</v>
      </c>
      <c r="D169" s="33">
        <v>160</v>
      </c>
      <c r="E169" s="44">
        <f>'3-Digit Lotto Table'!D165</f>
        <v>0</v>
      </c>
      <c r="F169" s="33">
        <v>260</v>
      </c>
      <c r="G169" s="44">
        <f>'3-Digit Lotto Table'!D265</f>
        <v>0</v>
      </c>
      <c r="H169" s="33">
        <v>360</v>
      </c>
      <c r="I169" s="44">
        <f>'3-Digit Lotto Table'!D365</f>
        <v>0</v>
      </c>
      <c r="J169" s="33">
        <v>460</v>
      </c>
      <c r="K169" s="46">
        <f>'3-Digit Lotto Table'!D465</f>
        <v>0</v>
      </c>
      <c r="L169" s="31">
        <v>560</v>
      </c>
      <c r="M169" s="46">
        <f>'3-Digit Lotto Table'!D565</f>
        <v>0</v>
      </c>
      <c r="N169" s="31">
        <v>660</v>
      </c>
      <c r="O169" s="46">
        <f>'3-Digit Lotto Table'!D665</f>
        <v>0</v>
      </c>
      <c r="P169" s="31">
        <v>760</v>
      </c>
      <c r="Q169" s="46">
        <f>'3-Digit Lotto Table'!D765</f>
        <v>0</v>
      </c>
      <c r="R169" s="31">
        <v>860</v>
      </c>
      <c r="S169" s="46">
        <f>'3-Digit Lotto Table'!D865</f>
        <v>0</v>
      </c>
      <c r="T169" s="36">
        <v>960</v>
      </c>
      <c r="U169" s="48">
        <f>'3-Digit Lotto Table'!D965</f>
        <v>0</v>
      </c>
    </row>
    <row r="170" spans="2:21" x14ac:dyDescent="0.3">
      <c r="B170" s="32">
        <v>61</v>
      </c>
      <c r="C170" s="44">
        <f>'3-Digit Lotto Table'!D66</f>
        <v>0</v>
      </c>
      <c r="D170" s="33">
        <v>161</v>
      </c>
      <c r="E170" s="44">
        <f>'3-Digit Lotto Table'!D166</f>
        <v>0</v>
      </c>
      <c r="F170" s="33">
        <v>261</v>
      </c>
      <c r="G170" s="44">
        <f>'3-Digit Lotto Table'!D266</f>
        <v>0</v>
      </c>
      <c r="H170" s="33">
        <v>361</v>
      </c>
      <c r="I170" s="44">
        <f>'3-Digit Lotto Table'!D366</f>
        <v>0</v>
      </c>
      <c r="J170" s="33">
        <v>461</v>
      </c>
      <c r="K170" s="46">
        <f>'3-Digit Lotto Table'!D466</f>
        <v>50</v>
      </c>
      <c r="L170" s="31">
        <v>561</v>
      </c>
      <c r="M170" s="46">
        <f>'3-Digit Lotto Table'!D566</f>
        <v>0</v>
      </c>
      <c r="N170" s="31">
        <v>661</v>
      </c>
      <c r="O170" s="46">
        <f>'3-Digit Lotto Table'!D666</f>
        <v>0</v>
      </c>
      <c r="P170" s="31">
        <v>761</v>
      </c>
      <c r="Q170" s="46">
        <f>'3-Digit Lotto Table'!D766</f>
        <v>0</v>
      </c>
      <c r="R170" s="31">
        <v>861</v>
      </c>
      <c r="S170" s="46">
        <f>'3-Digit Lotto Table'!D866</f>
        <v>0</v>
      </c>
      <c r="T170" s="36">
        <v>961</v>
      </c>
      <c r="U170" s="48">
        <f>'3-Digit Lotto Table'!D966</f>
        <v>0</v>
      </c>
    </row>
    <row r="171" spans="2:21" x14ac:dyDescent="0.3">
      <c r="B171" s="32">
        <v>62</v>
      </c>
      <c r="C171" s="44">
        <f>'3-Digit Lotto Table'!D67</f>
        <v>0</v>
      </c>
      <c r="D171" s="33">
        <v>162</v>
      </c>
      <c r="E171" s="44">
        <f>'3-Digit Lotto Table'!D167</f>
        <v>0</v>
      </c>
      <c r="F171" s="33">
        <v>262</v>
      </c>
      <c r="G171" s="44">
        <f>'3-Digit Lotto Table'!D267</f>
        <v>0</v>
      </c>
      <c r="H171" s="33">
        <v>362</v>
      </c>
      <c r="I171" s="44">
        <f>'3-Digit Lotto Table'!D367</f>
        <v>0</v>
      </c>
      <c r="J171" s="33">
        <v>462</v>
      </c>
      <c r="K171" s="46">
        <f>'3-Digit Lotto Table'!D467</f>
        <v>0</v>
      </c>
      <c r="L171" s="31">
        <v>562</v>
      </c>
      <c r="M171" s="46">
        <f>'3-Digit Lotto Table'!D567</f>
        <v>0</v>
      </c>
      <c r="N171" s="31">
        <v>662</v>
      </c>
      <c r="O171" s="46">
        <f>'3-Digit Lotto Table'!D667</f>
        <v>0</v>
      </c>
      <c r="P171" s="31">
        <v>762</v>
      </c>
      <c r="Q171" s="46">
        <f>'3-Digit Lotto Table'!D767</f>
        <v>0</v>
      </c>
      <c r="R171" s="31">
        <v>862</v>
      </c>
      <c r="S171" s="46">
        <f>'3-Digit Lotto Table'!D867</f>
        <v>0</v>
      </c>
      <c r="T171" s="36">
        <v>962</v>
      </c>
      <c r="U171" s="48">
        <f>'3-Digit Lotto Table'!D967</f>
        <v>0</v>
      </c>
    </row>
    <row r="172" spans="2:21" x14ac:dyDescent="0.3">
      <c r="B172" s="32">
        <v>63</v>
      </c>
      <c r="C172" s="44">
        <f>'3-Digit Lotto Table'!D68</f>
        <v>0</v>
      </c>
      <c r="D172" s="33">
        <v>163</v>
      </c>
      <c r="E172" s="44">
        <f>'3-Digit Lotto Table'!D168</f>
        <v>0</v>
      </c>
      <c r="F172" s="33">
        <v>263</v>
      </c>
      <c r="G172" s="44">
        <f>'3-Digit Lotto Table'!D268</f>
        <v>0</v>
      </c>
      <c r="H172" s="33">
        <v>363</v>
      </c>
      <c r="I172" s="44">
        <f>'3-Digit Lotto Table'!D368</f>
        <v>0</v>
      </c>
      <c r="J172" s="33">
        <v>463</v>
      </c>
      <c r="K172" s="46">
        <f>'3-Digit Lotto Table'!D468</f>
        <v>0</v>
      </c>
      <c r="L172" s="31">
        <v>563</v>
      </c>
      <c r="M172" s="46">
        <f>'3-Digit Lotto Table'!D568</f>
        <v>100</v>
      </c>
      <c r="N172" s="31">
        <v>663</v>
      </c>
      <c r="O172" s="46">
        <f>'3-Digit Lotto Table'!D668</f>
        <v>0</v>
      </c>
      <c r="P172" s="31">
        <v>763</v>
      </c>
      <c r="Q172" s="46">
        <f>'3-Digit Lotto Table'!D768</f>
        <v>50</v>
      </c>
      <c r="R172" s="31">
        <v>863</v>
      </c>
      <c r="S172" s="46">
        <f>'3-Digit Lotto Table'!D868</f>
        <v>200</v>
      </c>
      <c r="T172" s="36">
        <v>963</v>
      </c>
      <c r="U172" s="48">
        <f>'3-Digit Lotto Table'!D968</f>
        <v>0</v>
      </c>
    </row>
    <row r="173" spans="2:21" x14ac:dyDescent="0.3">
      <c r="B173" s="32">
        <v>64</v>
      </c>
      <c r="C173" s="44">
        <f>'3-Digit Lotto Table'!D69</f>
        <v>0</v>
      </c>
      <c r="D173" s="33">
        <v>164</v>
      </c>
      <c r="E173" s="44">
        <f>'3-Digit Lotto Table'!D169</f>
        <v>0</v>
      </c>
      <c r="F173" s="33">
        <v>264</v>
      </c>
      <c r="G173" s="44">
        <f>'3-Digit Lotto Table'!D269</f>
        <v>0</v>
      </c>
      <c r="H173" s="33">
        <v>364</v>
      </c>
      <c r="I173" s="44">
        <f>'3-Digit Lotto Table'!D369</f>
        <v>50</v>
      </c>
      <c r="J173" s="33">
        <v>464</v>
      </c>
      <c r="K173" s="46">
        <f>'3-Digit Lotto Table'!D469</f>
        <v>0</v>
      </c>
      <c r="L173" s="31">
        <v>564</v>
      </c>
      <c r="M173" s="46">
        <f>'3-Digit Lotto Table'!D569</f>
        <v>0</v>
      </c>
      <c r="N173" s="31">
        <v>664</v>
      </c>
      <c r="O173" s="46">
        <f>'3-Digit Lotto Table'!D669</f>
        <v>0</v>
      </c>
      <c r="P173" s="31">
        <v>764</v>
      </c>
      <c r="Q173" s="46">
        <f>'3-Digit Lotto Table'!D769</f>
        <v>0</v>
      </c>
      <c r="R173" s="31">
        <v>864</v>
      </c>
      <c r="S173" s="46">
        <f>'3-Digit Lotto Table'!D869</f>
        <v>0</v>
      </c>
      <c r="T173" s="36">
        <v>964</v>
      </c>
      <c r="U173" s="48">
        <f>'3-Digit Lotto Table'!D969</f>
        <v>0</v>
      </c>
    </row>
    <row r="174" spans="2:21" x14ac:dyDescent="0.3">
      <c r="B174" s="32">
        <v>65</v>
      </c>
      <c r="C174" s="44">
        <f>'3-Digit Lotto Table'!D70</f>
        <v>0</v>
      </c>
      <c r="D174" s="33">
        <v>165</v>
      </c>
      <c r="E174" s="44">
        <f>'3-Digit Lotto Table'!D170</f>
        <v>0</v>
      </c>
      <c r="F174" s="33">
        <v>265</v>
      </c>
      <c r="G174" s="44">
        <f>'3-Digit Lotto Table'!D270</f>
        <v>0</v>
      </c>
      <c r="H174" s="33">
        <v>365</v>
      </c>
      <c r="I174" s="44">
        <f>'3-Digit Lotto Table'!D370</f>
        <v>0</v>
      </c>
      <c r="J174" s="33">
        <v>465</v>
      </c>
      <c r="K174" s="46">
        <f>'3-Digit Lotto Table'!D470</f>
        <v>0</v>
      </c>
      <c r="L174" s="31">
        <v>565</v>
      </c>
      <c r="M174" s="46">
        <f>'3-Digit Lotto Table'!D570</f>
        <v>0</v>
      </c>
      <c r="N174" s="31">
        <v>665</v>
      </c>
      <c r="O174" s="46">
        <f>'3-Digit Lotto Table'!D670</f>
        <v>0</v>
      </c>
      <c r="P174" s="31">
        <v>765</v>
      </c>
      <c r="Q174" s="46">
        <f>'3-Digit Lotto Table'!D770</f>
        <v>0</v>
      </c>
      <c r="R174" s="31">
        <v>865</v>
      </c>
      <c r="S174" s="46">
        <f>'3-Digit Lotto Table'!D870</f>
        <v>50</v>
      </c>
      <c r="T174" s="36">
        <v>965</v>
      </c>
      <c r="U174" s="48">
        <f>'3-Digit Lotto Table'!D970</f>
        <v>0</v>
      </c>
    </row>
    <row r="175" spans="2:21" x14ac:dyDescent="0.3">
      <c r="B175" s="32">
        <v>66</v>
      </c>
      <c r="C175" s="44">
        <f>'3-Digit Lotto Table'!D71</f>
        <v>0</v>
      </c>
      <c r="D175" s="33">
        <v>166</v>
      </c>
      <c r="E175" s="44">
        <f>'3-Digit Lotto Table'!D171</f>
        <v>0</v>
      </c>
      <c r="F175" s="33">
        <v>266</v>
      </c>
      <c r="G175" s="44">
        <f>'3-Digit Lotto Table'!D271</f>
        <v>0</v>
      </c>
      <c r="H175" s="33">
        <v>366</v>
      </c>
      <c r="I175" s="44">
        <f>'3-Digit Lotto Table'!D371</f>
        <v>0</v>
      </c>
      <c r="J175" s="33">
        <v>466</v>
      </c>
      <c r="K175" s="46">
        <f>'3-Digit Lotto Table'!D471</f>
        <v>0</v>
      </c>
      <c r="L175" s="31">
        <v>566</v>
      </c>
      <c r="M175" s="46">
        <f>'3-Digit Lotto Table'!D571</f>
        <v>0</v>
      </c>
      <c r="N175" s="31">
        <v>666</v>
      </c>
      <c r="O175" s="46">
        <f>'3-Digit Lotto Table'!D671</f>
        <v>0</v>
      </c>
      <c r="P175" s="31">
        <v>766</v>
      </c>
      <c r="Q175" s="46">
        <f>'3-Digit Lotto Table'!D771</f>
        <v>20</v>
      </c>
      <c r="R175" s="31">
        <v>866</v>
      </c>
      <c r="S175" s="46">
        <f>'3-Digit Lotto Table'!D871</f>
        <v>30</v>
      </c>
      <c r="T175" s="36">
        <v>966</v>
      </c>
      <c r="U175" s="48">
        <f>'3-Digit Lotto Table'!D971</f>
        <v>0</v>
      </c>
    </row>
    <row r="176" spans="2:21" x14ac:dyDescent="0.3">
      <c r="B176" s="32">
        <v>67</v>
      </c>
      <c r="C176" s="44">
        <f>'3-Digit Lotto Table'!D72</f>
        <v>0</v>
      </c>
      <c r="D176" s="33">
        <v>167</v>
      </c>
      <c r="E176" s="44">
        <f>'3-Digit Lotto Table'!D172</f>
        <v>0</v>
      </c>
      <c r="F176" s="33">
        <v>267</v>
      </c>
      <c r="G176" s="44">
        <f>'3-Digit Lotto Table'!D272</f>
        <v>0</v>
      </c>
      <c r="H176" s="33">
        <v>367</v>
      </c>
      <c r="I176" s="44">
        <f>'3-Digit Lotto Table'!D372</f>
        <v>0</v>
      </c>
      <c r="J176" s="33">
        <v>467</v>
      </c>
      <c r="K176" s="46">
        <f>'3-Digit Lotto Table'!D472</f>
        <v>50</v>
      </c>
      <c r="L176" s="31">
        <v>567</v>
      </c>
      <c r="M176" s="46">
        <f>'3-Digit Lotto Table'!D572</f>
        <v>0</v>
      </c>
      <c r="N176" s="31">
        <v>667</v>
      </c>
      <c r="O176" s="46">
        <f>'3-Digit Lotto Table'!D672</f>
        <v>0</v>
      </c>
      <c r="P176" s="31">
        <v>767</v>
      </c>
      <c r="Q176" s="46">
        <f>'3-Digit Lotto Table'!D772</f>
        <v>0</v>
      </c>
      <c r="R176" s="31">
        <v>867</v>
      </c>
      <c r="S176" s="46">
        <f>'3-Digit Lotto Table'!D872</f>
        <v>20</v>
      </c>
      <c r="T176" s="36">
        <v>967</v>
      </c>
      <c r="U176" s="48">
        <f>'3-Digit Lotto Table'!D972</f>
        <v>0</v>
      </c>
    </row>
    <row r="177" spans="2:21" x14ac:dyDescent="0.3">
      <c r="B177" s="32">
        <v>68</v>
      </c>
      <c r="C177" s="44">
        <f>'3-Digit Lotto Table'!D73</f>
        <v>0</v>
      </c>
      <c r="D177" s="33">
        <v>168</v>
      </c>
      <c r="E177" s="44">
        <f>'3-Digit Lotto Table'!D173</f>
        <v>0</v>
      </c>
      <c r="F177" s="33">
        <v>268</v>
      </c>
      <c r="G177" s="44">
        <f>'3-Digit Lotto Table'!D273</f>
        <v>0</v>
      </c>
      <c r="H177" s="33">
        <v>368</v>
      </c>
      <c r="I177" s="44">
        <f>'3-Digit Lotto Table'!D373</f>
        <v>0</v>
      </c>
      <c r="J177" s="33">
        <v>468</v>
      </c>
      <c r="K177" s="46">
        <f>'3-Digit Lotto Table'!D473</f>
        <v>0</v>
      </c>
      <c r="L177" s="31">
        <v>568</v>
      </c>
      <c r="M177" s="46">
        <f>'3-Digit Lotto Table'!D573</f>
        <v>50</v>
      </c>
      <c r="N177" s="31">
        <v>668</v>
      </c>
      <c r="O177" s="46">
        <f>'3-Digit Lotto Table'!D673</f>
        <v>0</v>
      </c>
      <c r="P177" s="31">
        <v>768</v>
      </c>
      <c r="Q177" s="46">
        <f>'3-Digit Lotto Table'!D773</f>
        <v>100</v>
      </c>
      <c r="R177" s="31">
        <v>868</v>
      </c>
      <c r="S177" s="46">
        <f>'3-Digit Lotto Table'!D873</f>
        <v>0</v>
      </c>
      <c r="T177" s="36">
        <v>968</v>
      </c>
      <c r="U177" s="48">
        <f>'3-Digit Lotto Table'!D973</f>
        <v>100</v>
      </c>
    </row>
    <row r="178" spans="2:21" x14ac:dyDescent="0.3">
      <c r="B178" s="32">
        <v>69</v>
      </c>
      <c r="C178" s="44">
        <f>'3-Digit Lotto Table'!D74</f>
        <v>0</v>
      </c>
      <c r="D178" s="33">
        <v>169</v>
      </c>
      <c r="E178" s="44">
        <f>'3-Digit Lotto Table'!D174</f>
        <v>0</v>
      </c>
      <c r="F178" s="33">
        <v>269</v>
      </c>
      <c r="G178" s="44">
        <f>'3-Digit Lotto Table'!D274</f>
        <v>0</v>
      </c>
      <c r="H178" s="33">
        <v>369</v>
      </c>
      <c r="I178" s="44">
        <f>'3-Digit Lotto Table'!D374</f>
        <v>0</v>
      </c>
      <c r="J178" s="33">
        <v>469</v>
      </c>
      <c r="K178" s="46">
        <f>'3-Digit Lotto Table'!D474</f>
        <v>0</v>
      </c>
      <c r="L178" s="31">
        <v>569</v>
      </c>
      <c r="M178" s="46">
        <f>'3-Digit Lotto Table'!D574</f>
        <v>0</v>
      </c>
      <c r="N178" s="31">
        <v>669</v>
      </c>
      <c r="O178" s="46">
        <f>'3-Digit Lotto Table'!D674</f>
        <v>0</v>
      </c>
      <c r="P178" s="31">
        <v>769</v>
      </c>
      <c r="Q178" s="46">
        <f>'3-Digit Lotto Table'!D774</f>
        <v>0</v>
      </c>
      <c r="R178" s="31">
        <v>869</v>
      </c>
      <c r="S178" s="46">
        <f>'3-Digit Lotto Table'!D874</f>
        <v>20</v>
      </c>
      <c r="T178" s="36">
        <v>969</v>
      </c>
      <c r="U178" s="48">
        <f>'3-Digit Lotto Table'!D974</f>
        <v>0</v>
      </c>
    </row>
    <row r="179" spans="2:21" x14ac:dyDescent="0.3">
      <c r="B179" s="32">
        <v>70</v>
      </c>
      <c r="C179" s="44">
        <f>'3-Digit Lotto Table'!D75</f>
        <v>0</v>
      </c>
      <c r="D179" s="33">
        <v>170</v>
      </c>
      <c r="E179" s="44">
        <f>'3-Digit Lotto Table'!D175</f>
        <v>0</v>
      </c>
      <c r="F179" s="33">
        <v>270</v>
      </c>
      <c r="G179" s="44">
        <f>'3-Digit Lotto Table'!D275</f>
        <v>0</v>
      </c>
      <c r="H179" s="33">
        <v>370</v>
      </c>
      <c r="I179" s="44">
        <f>'3-Digit Lotto Table'!D375</f>
        <v>0</v>
      </c>
      <c r="J179" s="33">
        <v>470</v>
      </c>
      <c r="K179" s="46">
        <f>'3-Digit Lotto Table'!D475</f>
        <v>0</v>
      </c>
      <c r="L179" s="31">
        <v>570</v>
      </c>
      <c r="M179" s="46">
        <f>'3-Digit Lotto Table'!D575</f>
        <v>0</v>
      </c>
      <c r="N179" s="31">
        <v>670</v>
      </c>
      <c r="O179" s="46">
        <f>'3-Digit Lotto Table'!D675</f>
        <v>0</v>
      </c>
      <c r="P179" s="31">
        <v>770</v>
      </c>
      <c r="Q179" s="46">
        <f>'3-Digit Lotto Table'!D775</f>
        <v>0</v>
      </c>
      <c r="R179" s="31">
        <v>870</v>
      </c>
      <c r="S179" s="46">
        <f>'3-Digit Lotto Table'!D875</f>
        <v>0</v>
      </c>
      <c r="T179" s="36">
        <v>970</v>
      </c>
      <c r="U179" s="48">
        <f>'3-Digit Lotto Table'!D975</f>
        <v>0</v>
      </c>
    </row>
    <row r="180" spans="2:21" x14ac:dyDescent="0.3">
      <c r="B180" s="32">
        <v>71</v>
      </c>
      <c r="C180" s="44">
        <f>'3-Digit Lotto Table'!D76</f>
        <v>0</v>
      </c>
      <c r="D180" s="33">
        <v>171</v>
      </c>
      <c r="E180" s="44">
        <f>'3-Digit Lotto Table'!D176</f>
        <v>0</v>
      </c>
      <c r="F180" s="33">
        <v>271</v>
      </c>
      <c r="G180" s="44">
        <f>'3-Digit Lotto Table'!D276</f>
        <v>0</v>
      </c>
      <c r="H180" s="33">
        <v>371</v>
      </c>
      <c r="I180" s="44">
        <f>'3-Digit Lotto Table'!D376</f>
        <v>0</v>
      </c>
      <c r="J180" s="33">
        <v>471</v>
      </c>
      <c r="K180" s="46">
        <f>'3-Digit Lotto Table'!D476</f>
        <v>0</v>
      </c>
      <c r="L180" s="31">
        <v>571</v>
      </c>
      <c r="M180" s="46">
        <f>'3-Digit Lotto Table'!D576</f>
        <v>0</v>
      </c>
      <c r="N180" s="31">
        <v>671</v>
      </c>
      <c r="O180" s="46">
        <f>'3-Digit Lotto Table'!D676</f>
        <v>0</v>
      </c>
      <c r="P180" s="31">
        <v>771</v>
      </c>
      <c r="Q180" s="46">
        <f>'3-Digit Lotto Table'!D776</f>
        <v>0</v>
      </c>
      <c r="R180" s="31">
        <v>871</v>
      </c>
      <c r="S180" s="46">
        <f>'3-Digit Lotto Table'!D876</f>
        <v>0</v>
      </c>
      <c r="T180" s="36">
        <v>971</v>
      </c>
      <c r="U180" s="48">
        <f>'3-Digit Lotto Table'!D976</f>
        <v>0</v>
      </c>
    </row>
    <row r="181" spans="2:21" x14ac:dyDescent="0.3">
      <c r="B181" s="32">
        <v>72</v>
      </c>
      <c r="C181" s="44">
        <f>'3-Digit Lotto Table'!D77</f>
        <v>0</v>
      </c>
      <c r="D181" s="33">
        <v>172</v>
      </c>
      <c r="E181" s="44">
        <f>'3-Digit Lotto Table'!D177</f>
        <v>0</v>
      </c>
      <c r="F181" s="33">
        <v>272</v>
      </c>
      <c r="G181" s="44">
        <f>'3-Digit Lotto Table'!D277</f>
        <v>0</v>
      </c>
      <c r="H181" s="33">
        <v>372</v>
      </c>
      <c r="I181" s="44">
        <f>'3-Digit Lotto Table'!D377</f>
        <v>300</v>
      </c>
      <c r="J181" s="33">
        <v>472</v>
      </c>
      <c r="K181" s="46">
        <f>'3-Digit Lotto Table'!D477</f>
        <v>0</v>
      </c>
      <c r="L181" s="31">
        <v>572</v>
      </c>
      <c r="M181" s="46">
        <f>'3-Digit Lotto Table'!D577</f>
        <v>0</v>
      </c>
      <c r="N181" s="31">
        <v>672</v>
      </c>
      <c r="O181" s="46">
        <f>'3-Digit Lotto Table'!D677</f>
        <v>0</v>
      </c>
      <c r="P181" s="31">
        <v>772</v>
      </c>
      <c r="Q181" s="46">
        <f>'3-Digit Lotto Table'!D777</f>
        <v>0</v>
      </c>
      <c r="R181" s="31">
        <v>872</v>
      </c>
      <c r="S181" s="46">
        <f>'3-Digit Lotto Table'!D877</f>
        <v>0</v>
      </c>
      <c r="T181" s="36">
        <v>972</v>
      </c>
      <c r="U181" s="48">
        <f>'3-Digit Lotto Table'!D977</f>
        <v>0</v>
      </c>
    </row>
    <row r="182" spans="2:21" x14ac:dyDescent="0.3">
      <c r="B182" s="32">
        <v>73</v>
      </c>
      <c r="C182" s="44">
        <f>'3-Digit Lotto Table'!D78</f>
        <v>0</v>
      </c>
      <c r="D182" s="33">
        <v>173</v>
      </c>
      <c r="E182" s="44">
        <f>'3-Digit Lotto Table'!D178</f>
        <v>0</v>
      </c>
      <c r="F182" s="33">
        <v>273</v>
      </c>
      <c r="G182" s="44">
        <f>'3-Digit Lotto Table'!D278</f>
        <v>20</v>
      </c>
      <c r="H182" s="33">
        <v>373</v>
      </c>
      <c r="I182" s="44">
        <f>'3-Digit Lotto Table'!D378</f>
        <v>0</v>
      </c>
      <c r="J182" s="33">
        <v>473</v>
      </c>
      <c r="K182" s="46">
        <f>'3-Digit Lotto Table'!D478</f>
        <v>0</v>
      </c>
      <c r="L182" s="31">
        <v>573</v>
      </c>
      <c r="M182" s="46">
        <f>'3-Digit Lotto Table'!D578</f>
        <v>0</v>
      </c>
      <c r="N182" s="31">
        <v>673</v>
      </c>
      <c r="O182" s="46">
        <f>'3-Digit Lotto Table'!D678</f>
        <v>0</v>
      </c>
      <c r="P182" s="31">
        <v>773</v>
      </c>
      <c r="Q182" s="46">
        <f>'3-Digit Lotto Table'!D778</f>
        <v>0</v>
      </c>
      <c r="R182" s="31">
        <v>873</v>
      </c>
      <c r="S182" s="46">
        <f>'3-Digit Lotto Table'!D878</f>
        <v>0</v>
      </c>
      <c r="T182" s="36">
        <v>973</v>
      </c>
      <c r="U182" s="48">
        <f>'3-Digit Lotto Table'!D978</f>
        <v>20</v>
      </c>
    </row>
    <row r="183" spans="2:21" x14ac:dyDescent="0.3">
      <c r="B183" s="32">
        <v>74</v>
      </c>
      <c r="C183" s="44">
        <f>'3-Digit Lotto Table'!D79</f>
        <v>0</v>
      </c>
      <c r="D183" s="33">
        <v>174</v>
      </c>
      <c r="E183" s="44">
        <f>'3-Digit Lotto Table'!D179</f>
        <v>0</v>
      </c>
      <c r="F183" s="33">
        <v>274</v>
      </c>
      <c r="G183" s="44">
        <f>'3-Digit Lotto Table'!D279</f>
        <v>0</v>
      </c>
      <c r="H183" s="33">
        <v>374</v>
      </c>
      <c r="I183" s="44">
        <f>'3-Digit Lotto Table'!D379</f>
        <v>0</v>
      </c>
      <c r="J183" s="33">
        <v>474</v>
      </c>
      <c r="K183" s="46">
        <f>'3-Digit Lotto Table'!D479</f>
        <v>0</v>
      </c>
      <c r="L183" s="31">
        <v>574</v>
      </c>
      <c r="M183" s="46">
        <f>'3-Digit Lotto Table'!D579</f>
        <v>0</v>
      </c>
      <c r="N183" s="31">
        <v>674</v>
      </c>
      <c r="O183" s="46">
        <f>'3-Digit Lotto Table'!D679</f>
        <v>0</v>
      </c>
      <c r="P183" s="31">
        <v>774</v>
      </c>
      <c r="Q183" s="46">
        <f>'3-Digit Lotto Table'!D779</f>
        <v>0</v>
      </c>
      <c r="R183" s="31">
        <v>874</v>
      </c>
      <c r="S183" s="46">
        <f>'3-Digit Lotto Table'!D879</f>
        <v>0</v>
      </c>
      <c r="T183" s="36">
        <v>974</v>
      </c>
      <c r="U183" s="48">
        <f>'3-Digit Lotto Table'!D979</f>
        <v>0</v>
      </c>
    </row>
    <row r="184" spans="2:21" x14ac:dyDescent="0.3">
      <c r="B184" s="32">
        <v>75</v>
      </c>
      <c r="C184" s="44">
        <f>'3-Digit Lotto Table'!D80</f>
        <v>0</v>
      </c>
      <c r="D184" s="33">
        <v>175</v>
      </c>
      <c r="E184" s="44">
        <f>'3-Digit Lotto Table'!D180</f>
        <v>300</v>
      </c>
      <c r="F184" s="33">
        <v>275</v>
      </c>
      <c r="G184" s="44">
        <f>'3-Digit Lotto Table'!D280</f>
        <v>0</v>
      </c>
      <c r="H184" s="33">
        <v>375</v>
      </c>
      <c r="I184" s="44">
        <f>'3-Digit Lotto Table'!D380</f>
        <v>20</v>
      </c>
      <c r="J184" s="33">
        <v>475</v>
      </c>
      <c r="K184" s="46">
        <f>'3-Digit Lotto Table'!D480</f>
        <v>0</v>
      </c>
      <c r="L184" s="31">
        <v>575</v>
      </c>
      <c r="M184" s="46">
        <f>'3-Digit Lotto Table'!D580</f>
        <v>0</v>
      </c>
      <c r="N184" s="31">
        <v>675</v>
      </c>
      <c r="O184" s="46">
        <f>'3-Digit Lotto Table'!D680</f>
        <v>0</v>
      </c>
      <c r="P184" s="31">
        <v>775</v>
      </c>
      <c r="Q184" s="46">
        <f>'3-Digit Lotto Table'!D780</f>
        <v>0</v>
      </c>
      <c r="R184" s="31">
        <v>875</v>
      </c>
      <c r="S184" s="46">
        <f>'3-Digit Lotto Table'!D880</f>
        <v>20</v>
      </c>
      <c r="T184" s="36">
        <v>975</v>
      </c>
      <c r="U184" s="48">
        <f>'3-Digit Lotto Table'!D980</f>
        <v>0</v>
      </c>
    </row>
    <row r="185" spans="2:21" x14ac:dyDescent="0.3">
      <c r="B185" s="32">
        <v>76</v>
      </c>
      <c r="C185" s="44">
        <f>'3-Digit Lotto Table'!D81</f>
        <v>0</v>
      </c>
      <c r="D185" s="33">
        <v>176</v>
      </c>
      <c r="E185" s="44">
        <f>'3-Digit Lotto Table'!D181</f>
        <v>0</v>
      </c>
      <c r="F185" s="33">
        <v>276</v>
      </c>
      <c r="G185" s="44">
        <f>'3-Digit Lotto Table'!D281</f>
        <v>0</v>
      </c>
      <c r="H185" s="33">
        <v>376</v>
      </c>
      <c r="I185" s="44">
        <f>'3-Digit Lotto Table'!D381</f>
        <v>0</v>
      </c>
      <c r="J185" s="33">
        <v>476</v>
      </c>
      <c r="K185" s="46">
        <f>'3-Digit Lotto Table'!D481</f>
        <v>0</v>
      </c>
      <c r="L185" s="31">
        <v>576</v>
      </c>
      <c r="M185" s="46">
        <f>'3-Digit Lotto Table'!D581</f>
        <v>0</v>
      </c>
      <c r="N185" s="31">
        <v>676</v>
      </c>
      <c r="O185" s="46">
        <f>'3-Digit Lotto Table'!D681</f>
        <v>0</v>
      </c>
      <c r="P185" s="31">
        <v>776</v>
      </c>
      <c r="Q185" s="46">
        <f>'3-Digit Lotto Table'!D781</f>
        <v>0</v>
      </c>
      <c r="R185" s="31">
        <v>876</v>
      </c>
      <c r="S185" s="46">
        <f>'3-Digit Lotto Table'!D881</f>
        <v>100</v>
      </c>
      <c r="T185" s="36">
        <v>976</v>
      </c>
      <c r="U185" s="48">
        <f>'3-Digit Lotto Table'!D981</f>
        <v>0</v>
      </c>
    </row>
    <row r="186" spans="2:21" x14ac:dyDescent="0.3">
      <c r="B186" s="32">
        <v>77</v>
      </c>
      <c r="C186" s="44">
        <f>'3-Digit Lotto Table'!D82</f>
        <v>0</v>
      </c>
      <c r="D186" s="33">
        <v>177</v>
      </c>
      <c r="E186" s="44">
        <f>'3-Digit Lotto Table'!D182</f>
        <v>300</v>
      </c>
      <c r="F186" s="33">
        <v>277</v>
      </c>
      <c r="G186" s="44">
        <f>'3-Digit Lotto Table'!D282</f>
        <v>0</v>
      </c>
      <c r="H186" s="33">
        <v>377</v>
      </c>
      <c r="I186" s="44">
        <f>'3-Digit Lotto Table'!D382</f>
        <v>0</v>
      </c>
      <c r="J186" s="33">
        <v>477</v>
      </c>
      <c r="K186" s="46">
        <f>'3-Digit Lotto Table'!D482</f>
        <v>0</v>
      </c>
      <c r="L186" s="31">
        <v>577</v>
      </c>
      <c r="M186" s="46">
        <f>'3-Digit Lotto Table'!D582</f>
        <v>0</v>
      </c>
      <c r="N186" s="31">
        <v>677</v>
      </c>
      <c r="O186" s="46">
        <f>'3-Digit Lotto Table'!D682</f>
        <v>0</v>
      </c>
      <c r="P186" s="31">
        <v>777</v>
      </c>
      <c r="Q186" s="46">
        <f>'3-Digit Lotto Table'!D782</f>
        <v>0</v>
      </c>
      <c r="R186" s="31">
        <v>877</v>
      </c>
      <c r="S186" s="46">
        <f>'3-Digit Lotto Table'!D882</f>
        <v>0</v>
      </c>
      <c r="T186" s="36">
        <v>977</v>
      </c>
      <c r="U186" s="48">
        <f>'3-Digit Lotto Table'!D982</f>
        <v>0</v>
      </c>
    </row>
    <row r="187" spans="2:21" x14ac:dyDescent="0.3">
      <c r="B187" s="32">
        <v>78</v>
      </c>
      <c r="C187" s="44">
        <f>'3-Digit Lotto Table'!D83</f>
        <v>0</v>
      </c>
      <c r="D187" s="33">
        <v>178</v>
      </c>
      <c r="E187" s="44">
        <f>'3-Digit Lotto Table'!D183</f>
        <v>50</v>
      </c>
      <c r="F187" s="33">
        <v>278</v>
      </c>
      <c r="G187" s="44">
        <f>'3-Digit Lotto Table'!D283</f>
        <v>50</v>
      </c>
      <c r="H187" s="33">
        <v>378</v>
      </c>
      <c r="I187" s="44">
        <f>'3-Digit Lotto Table'!D383</f>
        <v>0</v>
      </c>
      <c r="J187" s="33">
        <v>478</v>
      </c>
      <c r="K187" s="46">
        <f>'3-Digit Lotto Table'!D483</f>
        <v>100</v>
      </c>
      <c r="L187" s="31">
        <v>578</v>
      </c>
      <c r="M187" s="46">
        <f>'3-Digit Lotto Table'!D583</f>
        <v>50</v>
      </c>
      <c r="N187" s="31">
        <v>678</v>
      </c>
      <c r="O187" s="46">
        <f>'3-Digit Lotto Table'!D683</f>
        <v>100</v>
      </c>
      <c r="P187" s="31">
        <v>778</v>
      </c>
      <c r="Q187" s="46">
        <f>'3-Digit Lotto Table'!D783</f>
        <v>0</v>
      </c>
      <c r="R187" s="31">
        <v>878</v>
      </c>
      <c r="S187" s="46">
        <f>'3-Digit Lotto Table'!D883</f>
        <v>0</v>
      </c>
      <c r="T187" s="36">
        <v>978</v>
      </c>
      <c r="U187" s="48">
        <f>'3-Digit Lotto Table'!D983</f>
        <v>0</v>
      </c>
    </row>
    <row r="188" spans="2:21" x14ac:dyDescent="0.3">
      <c r="B188" s="32">
        <v>79</v>
      </c>
      <c r="C188" s="44">
        <f>'3-Digit Lotto Table'!D84</f>
        <v>50</v>
      </c>
      <c r="D188" s="33">
        <v>179</v>
      </c>
      <c r="E188" s="44">
        <f>'3-Digit Lotto Table'!D184</f>
        <v>0</v>
      </c>
      <c r="F188" s="33">
        <v>279</v>
      </c>
      <c r="G188" s="44">
        <f>'3-Digit Lotto Table'!D284</f>
        <v>0</v>
      </c>
      <c r="H188" s="33">
        <v>379</v>
      </c>
      <c r="I188" s="44">
        <f>'3-Digit Lotto Table'!D384</f>
        <v>0</v>
      </c>
      <c r="J188" s="33">
        <v>479</v>
      </c>
      <c r="K188" s="46">
        <f>'3-Digit Lotto Table'!D484</f>
        <v>100</v>
      </c>
      <c r="L188" s="31">
        <v>579</v>
      </c>
      <c r="M188" s="46">
        <f>'3-Digit Lotto Table'!D584</f>
        <v>0</v>
      </c>
      <c r="N188" s="31">
        <v>679</v>
      </c>
      <c r="O188" s="46">
        <f>'3-Digit Lotto Table'!D684</f>
        <v>0</v>
      </c>
      <c r="P188" s="31">
        <v>779</v>
      </c>
      <c r="Q188" s="46">
        <f>'3-Digit Lotto Table'!D784</f>
        <v>0</v>
      </c>
      <c r="R188" s="31">
        <v>879</v>
      </c>
      <c r="S188" s="46">
        <f>'3-Digit Lotto Table'!D884</f>
        <v>0</v>
      </c>
      <c r="T188" s="36">
        <v>979</v>
      </c>
      <c r="U188" s="48">
        <f>'3-Digit Lotto Table'!D984</f>
        <v>0</v>
      </c>
    </row>
    <row r="189" spans="2:21" x14ac:dyDescent="0.3">
      <c r="B189" s="32">
        <v>80</v>
      </c>
      <c r="C189" s="44">
        <f>'3-Digit Lotto Table'!D85</f>
        <v>0</v>
      </c>
      <c r="D189" s="33">
        <v>180</v>
      </c>
      <c r="E189" s="44">
        <f>'3-Digit Lotto Table'!D185</f>
        <v>0</v>
      </c>
      <c r="F189" s="33">
        <v>280</v>
      </c>
      <c r="G189" s="44">
        <f>'3-Digit Lotto Table'!D285</f>
        <v>0</v>
      </c>
      <c r="H189" s="33">
        <v>380</v>
      </c>
      <c r="I189" s="44">
        <f>'3-Digit Lotto Table'!D385</f>
        <v>0</v>
      </c>
      <c r="J189" s="33">
        <v>480</v>
      </c>
      <c r="K189" s="46">
        <f>'3-Digit Lotto Table'!D485</f>
        <v>0</v>
      </c>
      <c r="L189" s="31">
        <v>580</v>
      </c>
      <c r="M189" s="46">
        <f>'3-Digit Lotto Table'!D585</f>
        <v>0</v>
      </c>
      <c r="N189" s="31">
        <v>680</v>
      </c>
      <c r="O189" s="46">
        <f>'3-Digit Lotto Table'!D685</f>
        <v>0</v>
      </c>
      <c r="P189" s="31">
        <v>780</v>
      </c>
      <c r="Q189" s="46">
        <f>'3-Digit Lotto Table'!D785</f>
        <v>0</v>
      </c>
      <c r="R189" s="31">
        <v>880</v>
      </c>
      <c r="S189" s="46">
        <f>'3-Digit Lotto Table'!D885</f>
        <v>0</v>
      </c>
      <c r="T189" s="36">
        <v>980</v>
      </c>
      <c r="U189" s="48">
        <f>'3-Digit Lotto Table'!D985</f>
        <v>0</v>
      </c>
    </row>
    <row r="190" spans="2:21" x14ac:dyDescent="0.3">
      <c r="B190" s="32">
        <v>81</v>
      </c>
      <c r="C190" s="44">
        <f>'3-Digit Lotto Table'!D86</f>
        <v>0</v>
      </c>
      <c r="D190" s="33">
        <v>181</v>
      </c>
      <c r="E190" s="44">
        <f>'3-Digit Lotto Table'!D186</f>
        <v>0</v>
      </c>
      <c r="F190" s="33">
        <v>281</v>
      </c>
      <c r="G190" s="44">
        <f>'3-Digit Lotto Table'!D286</f>
        <v>0</v>
      </c>
      <c r="H190" s="33">
        <v>381</v>
      </c>
      <c r="I190" s="44">
        <f>'3-Digit Lotto Table'!D386</f>
        <v>0</v>
      </c>
      <c r="J190" s="33">
        <v>481</v>
      </c>
      <c r="K190" s="46">
        <f>'3-Digit Lotto Table'!D486</f>
        <v>0</v>
      </c>
      <c r="L190" s="31">
        <v>581</v>
      </c>
      <c r="M190" s="46">
        <f>'3-Digit Lotto Table'!D586</f>
        <v>50</v>
      </c>
      <c r="N190" s="31">
        <v>681</v>
      </c>
      <c r="O190" s="46">
        <f>'3-Digit Lotto Table'!D686</f>
        <v>0</v>
      </c>
      <c r="P190" s="31">
        <v>781</v>
      </c>
      <c r="Q190" s="46">
        <f>'3-Digit Lotto Table'!D786</f>
        <v>0</v>
      </c>
      <c r="R190" s="31">
        <v>881</v>
      </c>
      <c r="S190" s="46">
        <f>'3-Digit Lotto Table'!D886</f>
        <v>0</v>
      </c>
      <c r="T190" s="36">
        <v>981</v>
      </c>
      <c r="U190" s="48">
        <f>'3-Digit Lotto Table'!D986</f>
        <v>20</v>
      </c>
    </row>
    <row r="191" spans="2:21" x14ac:dyDescent="0.3">
      <c r="B191" s="32">
        <v>82</v>
      </c>
      <c r="C191" s="44">
        <f>'3-Digit Lotto Table'!D87</f>
        <v>0</v>
      </c>
      <c r="D191" s="33">
        <v>182</v>
      </c>
      <c r="E191" s="44">
        <f>'3-Digit Lotto Table'!D187</f>
        <v>0</v>
      </c>
      <c r="F191" s="33">
        <v>282</v>
      </c>
      <c r="G191" s="44">
        <f>'3-Digit Lotto Table'!D287</f>
        <v>0</v>
      </c>
      <c r="H191" s="33">
        <v>382</v>
      </c>
      <c r="I191" s="44">
        <f>'3-Digit Lotto Table'!D387</f>
        <v>0</v>
      </c>
      <c r="J191" s="33">
        <v>482</v>
      </c>
      <c r="K191" s="46">
        <f>'3-Digit Lotto Table'!D487</f>
        <v>0</v>
      </c>
      <c r="L191" s="31">
        <v>582</v>
      </c>
      <c r="M191" s="46">
        <f>'3-Digit Lotto Table'!D587</f>
        <v>0</v>
      </c>
      <c r="N191" s="31">
        <v>682</v>
      </c>
      <c r="O191" s="46">
        <f>'3-Digit Lotto Table'!D687</f>
        <v>0</v>
      </c>
      <c r="P191" s="31">
        <v>782</v>
      </c>
      <c r="Q191" s="46">
        <f>'3-Digit Lotto Table'!D787</f>
        <v>0</v>
      </c>
      <c r="R191" s="31">
        <v>882</v>
      </c>
      <c r="S191" s="46">
        <f>'3-Digit Lotto Table'!D887</f>
        <v>0</v>
      </c>
      <c r="T191" s="36">
        <v>982</v>
      </c>
      <c r="U191" s="48">
        <f>'3-Digit Lotto Table'!D987</f>
        <v>0</v>
      </c>
    </row>
    <row r="192" spans="2:21" x14ac:dyDescent="0.3">
      <c r="B192" s="32">
        <v>83</v>
      </c>
      <c r="C192" s="44">
        <f>'3-Digit Lotto Table'!D88</f>
        <v>0</v>
      </c>
      <c r="D192" s="33">
        <v>183</v>
      </c>
      <c r="E192" s="44">
        <f>'3-Digit Lotto Table'!D188</f>
        <v>0</v>
      </c>
      <c r="F192" s="33">
        <v>283</v>
      </c>
      <c r="G192" s="44">
        <f>'3-Digit Lotto Table'!D288</f>
        <v>0</v>
      </c>
      <c r="H192" s="33">
        <v>383</v>
      </c>
      <c r="I192" s="44">
        <f>'3-Digit Lotto Table'!D388</f>
        <v>0</v>
      </c>
      <c r="J192" s="33">
        <v>483</v>
      </c>
      <c r="K192" s="46">
        <f>'3-Digit Lotto Table'!D488</f>
        <v>0</v>
      </c>
      <c r="L192" s="31">
        <v>583</v>
      </c>
      <c r="M192" s="46">
        <f>'3-Digit Lotto Table'!D588</f>
        <v>0</v>
      </c>
      <c r="N192" s="31">
        <v>683</v>
      </c>
      <c r="O192" s="46">
        <f>'3-Digit Lotto Table'!D688</f>
        <v>0</v>
      </c>
      <c r="P192" s="31">
        <v>783</v>
      </c>
      <c r="Q192" s="46">
        <f>'3-Digit Lotto Table'!D788</f>
        <v>0</v>
      </c>
      <c r="R192" s="31">
        <v>883</v>
      </c>
      <c r="S192" s="46">
        <f>'3-Digit Lotto Table'!D888</f>
        <v>0</v>
      </c>
      <c r="T192" s="36">
        <v>983</v>
      </c>
      <c r="U192" s="48">
        <f>'3-Digit Lotto Table'!D988</f>
        <v>0</v>
      </c>
    </row>
    <row r="193" spans="2:21" x14ac:dyDescent="0.3">
      <c r="B193" s="32">
        <v>84</v>
      </c>
      <c r="C193" s="44">
        <f>'3-Digit Lotto Table'!D89</f>
        <v>0</v>
      </c>
      <c r="D193" s="33">
        <v>184</v>
      </c>
      <c r="E193" s="44">
        <f>'3-Digit Lotto Table'!D189</f>
        <v>0</v>
      </c>
      <c r="F193" s="33">
        <v>284</v>
      </c>
      <c r="G193" s="44">
        <f>'3-Digit Lotto Table'!D289</f>
        <v>0</v>
      </c>
      <c r="H193" s="33">
        <v>384</v>
      </c>
      <c r="I193" s="44">
        <f>'3-Digit Lotto Table'!D389</f>
        <v>0</v>
      </c>
      <c r="J193" s="33">
        <v>484</v>
      </c>
      <c r="K193" s="46">
        <f>'3-Digit Lotto Table'!D489</f>
        <v>0</v>
      </c>
      <c r="L193" s="31">
        <v>584</v>
      </c>
      <c r="M193" s="46">
        <f>'3-Digit Lotto Table'!D589</f>
        <v>100</v>
      </c>
      <c r="N193" s="31">
        <v>684</v>
      </c>
      <c r="O193" s="46">
        <f>'3-Digit Lotto Table'!D689</f>
        <v>0</v>
      </c>
      <c r="P193" s="31">
        <v>784</v>
      </c>
      <c r="Q193" s="46">
        <f>'3-Digit Lotto Table'!D789</f>
        <v>0</v>
      </c>
      <c r="R193" s="31">
        <v>884</v>
      </c>
      <c r="S193" s="46">
        <f>'3-Digit Lotto Table'!D889</f>
        <v>0</v>
      </c>
      <c r="T193" s="36">
        <v>984</v>
      </c>
      <c r="U193" s="48">
        <f>'3-Digit Lotto Table'!D989</f>
        <v>0</v>
      </c>
    </row>
    <row r="194" spans="2:21" x14ac:dyDescent="0.3">
      <c r="B194" s="32">
        <v>85</v>
      </c>
      <c r="C194" s="44">
        <f>'3-Digit Lotto Table'!D90</f>
        <v>0</v>
      </c>
      <c r="D194" s="33">
        <v>185</v>
      </c>
      <c r="E194" s="44">
        <f>'3-Digit Lotto Table'!D190</f>
        <v>50</v>
      </c>
      <c r="F194" s="33">
        <v>285</v>
      </c>
      <c r="G194" s="44">
        <f>'3-Digit Lotto Table'!D290</f>
        <v>0</v>
      </c>
      <c r="H194" s="33">
        <v>385</v>
      </c>
      <c r="I194" s="44">
        <f>'3-Digit Lotto Table'!D390</f>
        <v>0</v>
      </c>
      <c r="J194" s="33">
        <v>485</v>
      </c>
      <c r="K194" s="46">
        <f>'3-Digit Lotto Table'!D490</f>
        <v>0</v>
      </c>
      <c r="L194" s="31">
        <v>585</v>
      </c>
      <c r="M194" s="46">
        <f>'3-Digit Lotto Table'!D590</f>
        <v>0</v>
      </c>
      <c r="N194" s="31">
        <v>685</v>
      </c>
      <c r="O194" s="46">
        <f>'3-Digit Lotto Table'!D690</f>
        <v>50</v>
      </c>
      <c r="P194" s="31">
        <v>785</v>
      </c>
      <c r="Q194" s="46">
        <f>'3-Digit Lotto Table'!D790</f>
        <v>0</v>
      </c>
      <c r="R194" s="31">
        <v>885</v>
      </c>
      <c r="S194" s="46">
        <f>'3-Digit Lotto Table'!D890</f>
        <v>0</v>
      </c>
      <c r="T194" s="36">
        <v>985</v>
      </c>
      <c r="U194" s="48">
        <f>'3-Digit Lotto Table'!D990</f>
        <v>250</v>
      </c>
    </row>
    <row r="195" spans="2:21" x14ac:dyDescent="0.3">
      <c r="B195" s="32">
        <v>86</v>
      </c>
      <c r="C195" s="44">
        <f>'3-Digit Lotto Table'!D91</f>
        <v>0</v>
      </c>
      <c r="D195" s="33">
        <v>186</v>
      </c>
      <c r="E195" s="44">
        <f>'3-Digit Lotto Table'!D191</f>
        <v>0</v>
      </c>
      <c r="F195" s="33">
        <v>286</v>
      </c>
      <c r="G195" s="44">
        <f>'3-Digit Lotto Table'!D291</f>
        <v>100</v>
      </c>
      <c r="H195" s="33">
        <v>386</v>
      </c>
      <c r="I195" s="44">
        <f>'3-Digit Lotto Table'!D391</f>
        <v>0</v>
      </c>
      <c r="J195" s="33">
        <v>486</v>
      </c>
      <c r="K195" s="46">
        <f>'3-Digit Lotto Table'!D491</f>
        <v>0</v>
      </c>
      <c r="L195" s="31">
        <v>586</v>
      </c>
      <c r="M195" s="46">
        <f>'3-Digit Lotto Table'!D591</f>
        <v>50</v>
      </c>
      <c r="N195" s="31">
        <v>686</v>
      </c>
      <c r="O195" s="46">
        <f>'3-Digit Lotto Table'!D691</f>
        <v>20</v>
      </c>
      <c r="P195" s="31">
        <v>786</v>
      </c>
      <c r="Q195" s="46">
        <f>'3-Digit Lotto Table'!D791</f>
        <v>0</v>
      </c>
      <c r="R195" s="31">
        <v>886</v>
      </c>
      <c r="S195" s="46">
        <f>'3-Digit Lotto Table'!D891</f>
        <v>0</v>
      </c>
      <c r="T195" s="36">
        <v>986</v>
      </c>
      <c r="U195" s="48">
        <f>'3-Digit Lotto Table'!D991</f>
        <v>0</v>
      </c>
    </row>
    <row r="196" spans="2:21" x14ac:dyDescent="0.3">
      <c r="B196" s="32">
        <v>87</v>
      </c>
      <c r="C196" s="44">
        <f>'3-Digit Lotto Table'!D92</f>
        <v>0</v>
      </c>
      <c r="D196" s="33">
        <v>187</v>
      </c>
      <c r="E196" s="44">
        <f>'3-Digit Lotto Table'!D192</f>
        <v>0</v>
      </c>
      <c r="F196" s="33">
        <v>287</v>
      </c>
      <c r="G196" s="44">
        <f>'3-Digit Lotto Table'!D292</f>
        <v>0</v>
      </c>
      <c r="H196" s="33">
        <v>387</v>
      </c>
      <c r="I196" s="44">
        <f>'3-Digit Lotto Table'!D392</f>
        <v>0</v>
      </c>
      <c r="J196" s="33">
        <v>487</v>
      </c>
      <c r="K196" s="46">
        <f>'3-Digit Lotto Table'!D492</f>
        <v>0</v>
      </c>
      <c r="L196" s="31">
        <v>587</v>
      </c>
      <c r="M196" s="46">
        <f>'3-Digit Lotto Table'!D592</f>
        <v>0</v>
      </c>
      <c r="N196" s="31">
        <v>687</v>
      </c>
      <c r="O196" s="46">
        <f>'3-Digit Lotto Table'!D692</f>
        <v>20</v>
      </c>
      <c r="P196" s="31">
        <v>787</v>
      </c>
      <c r="Q196" s="46">
        <f>'3-Digit Lotto Table'!D792</f>
        <v>0</v>
      </c>
      <c r="R196" s="31">
        <v>887</v>
      </c>
      <c r="S196" s="46">
        <f>'3-Digit Lotto Table'!D892</f>
        <v>0</v>
      </c>
      <c r="T196" s="36">
        <v>987</v>
      </c>
      <c r="U196" s="48">
        <f>'3-Digit Lotto Table'!D992</f>
        <v>0</v>
      </c>
    </row>
    <row r="197" spans="2:21" x14ac:dyDescent="0.3">
      <c r="B197" s="32">
        <v>88</v>
      </c>
      <c r="C197" s="44">
        <f>'3-Digit Lotto Table'!D93</f>
        <v>0</v>
      </c>
      <c r="D197" s="33">
        <v>188</v>
      </c>
      <c r="E197" s="44">
        <f>'3-Digit Lotto Table'!D193</f>
        <v>0</v>
      </c>
      <c r="F197" s="33">
        <v>288</v>
      </c>
      <c r="G197" s="44">
        <f>'3-Digit Lotto Table'!D293</f>
        <v>0</v>
      </c>
      <c r="H197" s="33">
        <v>388</v>
      </c>
      <c r="I197" s="44">
        <f>'3-Digit Lotto Table'!D393</f>
        <v>0</v>
      </c>
      <c r="J197" s="33">
        <v>488</v>
      </c>
      <c r="K197" s="46">
        <f>'3-Digit Lotto Table'!D493</f>
        <v>0</v>
      </c>
      <c r="L197" s="31">
        <v>588</v>
      </c>
      <c r="M197" s="46">
        <f>'3-Digit Lotto Table'!D593</f>
        <v>0</v>
      </c>
      <c r="N197" s="31">
        <v>688</v>
      </c>
      <c r="O197" s="46">
        <f>'3-Digit Lotto Table'!D693</f>
        <v>0</v>
      </c>
      <c r="P197" s="31">
        <v>788</v>
      </c>
      <c r="Q197" s="46">
        <f>'3-Digit Lotto Table'!D793</f>
        <v>0</v>
      </c>
      <c r="R197" s="31">
        <v>888</v>
      </c>
      <c r="S197" s="46">
        <f>'3-Digit Lotto Table'!D893</f>
        <v>0</v>
      </c>
      <c r="T197" s="36">
        <v>988</v>
      </c>
      <c r="U197" s="48">
        <f>'3-Digit Lotto Table'!D993</f>
        <v>0</v>
      </c>
    </row>
    <row r="198" spans="2:21" x14ac:dyDescent="0.3">
      <c r="B198" s="32">
        <v>89</v>
      </c>
      <c r="C198" s="44">
        <f>'3-Digit Lotto Table'!D94</f>
        <v>0</v>
      </c>
      <c r="D198" s="33">
        <v>189</v>
      </c>
      <c r="E198" s="44">
        <f>'3-Digit Lotto Table'!D194</f>
        <v>0</v>
      </c>
      <c r="F198" s="33">
        <v>289</v>
      </c>
      <c r="G198" s="44">
        <f>'3-Digit Lotto Table'!D294</f>
        <v>0</v>
      </c>
      <c r="H198" s="33">
        <v>389</v>
      </c>
      <c r="I198" s="44">
        <f>'3-Digit Lotto Table'!D394</f>
        <v>0</v>
      </c>
      <c r="J198" s="33">
        <v>489</v>
      </c>
      <c r="K198" s="46">
        <f>'3-Digit Lotto Table'!D494</f>
        <v>0</v>
      </c>
      <c r="L198" s="31">
        <v>589</v>
      </c>
      <c r="M198" s="46">
        <f>'3-Digit Lotto Table'!D594</f>
        <v>50</v>
      </c>
      <c r="N198" s="31">
        <v>689</v>
      </c>
      <c r="O198" s="46">
        <f>'3-Digit Lotto Table'!D694</f>
        <v>0</v>
      </c>
      <c r="P198" s="31">
        <v>789</v>
      </c>
      <c r="Q198" s="46">
        <f>'3-Digit Lotto Table'!D794</f>
        <v>0</v>
      </c>
      <c r="R198" s="31">
        <v>889</v>
      </c>
      <c r="S198" s="46">
        <f>'3-Digit Lotto Table'!D894</f>
        <v>0</v>
      </c>
      <c r="T198" s="36">
        <v>989</v>
      </c>
      <c r="U198" s="48">
        <f>'3-Digit Lotto Table'!D994</f>
        <v>0</v>
      </c>
    </row>
    <row r="199" spans="2:21" x14ac:dyDescent="0.3">
      <c r="B199" s="32">
        <v>90</v>
      </c>
      <c r="C199" s="44">
        <f>'3-Digit Lotto Table'!D95</f>
        <v>0</v>
      </c>
      <c r="D199" s="33">
        <v>190</v>
      </c>
      <c r="E199" s="44">
        <f>'3-Digit Lotto Table'!D195</f>
        <v>0</v>
      </c>
      <c r="F199" s="33">
        <v>290</v>
      </c>
      <c r="G199" s="44">
        <f>'3-Digit Lotto Table'!D295</f>
        <v>50</v>
      </c>
      <c r="H199" s="33">
        <v>390</v>
      </c>
      <c r="I199" s="44">
        <f>'3-Digit Lotto Table'!D395</f>
        <v>0</v>
      </c>
      <c r="J199" s="33">
        <v>490</v>
      </c>
      <c r="K199" s="46">
        <f>'3-Digit Lotto Table'!D495</f>
        <v>0</v>
      </c>
      <c r="L199" s="31">
        <v>590</v>
      </c>
      <c r="M199" s="46">
        <f>'3-Digit Lotto Table'!D595</f>
        <v>0</v>
      </c>
      <c r="N199" s="31">
        <v>690</v>
      </c>
      <c r="O199" s="46">
        <f>'3-Digit Lotto Table'!D695</f>
        <v>0</v>
      </c>
      <c r="P199" s="31">
        <v>790</v>
      </c>
      <c r="Q199" s="46">
        <f>'3-Digit Lotto Table'!D795</f>
        <v>0</v>
      </c>
      <c r="R199" s="31">
        <v>890</v>
      </c>
      <c r="S199" s="46">
        <f>'3-Digit Lotto Table'!D895</f>
        <v>0</v>
      </c>
      <c r="T199" s="36">
        <v>990</v>
      </c>
      <c r="U199" s="48">
        <f>'3-Digit Lotto Table'!D995</f>
        <v>0</v>
      </c>
    </row>
    <row r="200" spans="2:21" x14ac:dyDescent="0.3">
      <c r="B200" s="32">
        <v>91</v>
      </c>
      <c r="C200" s="44">
        <f>'3-Digit Lotto Table'!D96</f>
        <v>100</v>
      </c>
      <c r="D200" s="33">
        <v>191</v>
      </c>
      <c r="E200" s="44">
        <f>'3-Digit Lotto Table'!D196</f>
        <v>0</v>
      </c>
      <c r="F200" s="33">
        <v>291</v>
      </c>
      <c r="G200" s="44">
        <f>'3-Digit Lotto Table'!D296</f>
        <v>50</v>
      </c>
      <c r="H200" s="33">
        <v>391</v>
      </c>
      <c r="I200" s="44">
        <f>'3-Digit Lotto Table'!D396</f>
        <v>100</v>
      </c>
      <c r="J200" s="33">
        <v>491</v>
      </c>
      <c r="K200" s="46">
        <f>'3-Digit Lotto Table'!D496</f>
        <v>0</v>
      </c>
      <c r="L200" s="31">
        <v>591</v>
      </c>
      <c r="M200" s="46">
        <f>'3-Digit Lotto Table'!D596</f>
        <v>0</v>
      </c>
      <c r="N200" s="31">
        <v>691</v>
      </c>
      <c r="O200" s="46">
        <f>'3-Digit Lotto Table'!D696</f>
        <v>0</v>
      </c>
      <c r="P200" s="31">
        <v>791</v>
      </c>
      <c r="Q200" s="46">
        <f>'3-Digit Lotto Table'!D796</f>
        <v>100</v>
      </c>
      <c r="R200" s="31">
        <v>891</v>
      </c>
      <c r="S200" s="46">
        <f>'3-Digit Lotto Table'!D896</f>
        <v>100</v>
      </c>
      <c r="T200" s="36">
        <v>991</v>
      </c>
      <c r="U200" s="48">
        <f>'3-Digit Lotto Table'!D996</f>
        <v>0</v>
      </c>
    </row>
    <row r="201" spans="2:21" x14ac:dyDescent="0.3">
      <c r="B201" s="32">
        <v>92</v>
      </c>
      <c r="C201" s="44">
        <f>'3-Digit Lotto Table'!D97</f>
        <v>0</v>
      </c>
      <c r="D201" s="33">
        <v>192</v>
      </c>
      <c r="E201" s="44">
        <f>'3-Digit Lotto Table'!D197</f>
        <v>0</v>
      </c>
      <c r="F201" s="33">
        <v>292</v>
      </c>
      <c r="G201" s="44">
        <f>'3-Digit Lotto Table'!D297</f>
        <v>0</v>
      </c>
      <c r="H201" s="33">
        <v>392</v>
      </c>
      <c r="I201" s="44">
        <f>'3-Digit Lotto Table'!D397</f>
        <v>0</v>
      </c>
      <c r="J201" s="33">
        <v>492</v>
      </c>
      <c r="K201" s="46">
        <f>'3-Digit Lotto Table'!D497</f>
        <v>0</v>
      </c>
      <c r="L201" s="31">
        <v>592</v>
      </c>
      <c r="M201" s="46">
        <f>'3-Digit Lotto Table'!D597</f>
        <v>0</v>
      </c>
      <c r="N201" s="31">
        <v>692</v>
      </c>
      <c r="O201" s="46">
        <f>'3-Digit Lotto Table'!D697</f>
        <v>0</v>
      </c>
      <c r="P201" s="31">
        <v>792</v>
      </c>
      <c r="Q201" s="46">
        <f>'3-Digit Lotto Table'!D797</f>
        <v>0</v>
      </c>
      <c r="R201" s="31">
        <v>892</v>
      </c>
      <c r="S201" s="46">
        <f>'3-Digit Lotto Table'!D897</f>
        <v>20</v>
      </c>
      <c r="T201" s="36">
        <v>992</v>
      </c>
      <c r="U201" s="48">
        <f>'3-Digit Lotto Table'!D997</f>
        <v>0</v>
      </c>
    </row>
    <row r="202" spans="2:21" x14ac:dyDescent="0.3">
      <c r="B202" s="32">
        <v>93</v>
      </c>
      <c r="C202" s="44">
        <f>'3-Digit Lotto Table'!D98</f>
        <v>100</v>
      </c>
      <c r="D202" s="33">
        <v>193</v>
      </c>
      <c r="E202" s="44">
        <f>'3-Digit Lotto Table'!D198</f>
        <v>0</v>
      </c>
      <c r="F202" s="33">
        <v>293</v>
      </c>
      <c r="G202" s="44">
        <f>'3-Digit Lotto Table'!D298</f>
        <v>0</v>
      </c>
      <c r="H202" s="33">
        <v>393</v>
      </c>
      <c r="I202" s="44">
        <f>'3-Digit Lotto Table'!D398</f>
        <v>0</v>
      </c>
      <c r="J202" s="33">
        <v>493</v>
      </c>
      <c r="K202" s="46">
        <f>'3-Digit Lotto Table'!D498</f>
        <v>0</v>
      </c>
      <c r="L202" s="31">
        <v>593</v>
      </c>
      <c r="M202" s="46">
        <f>'3-Digit Lotto Table'!D598</f>
        <v>0</v>
      </c>
      <c r="N202" s="31">
        <v>693</v>
      </c>
      <c r="O202" s="46">
        <f>'3-Digit Lotto Table'!D698</f>
        <v>0</v>
      </c>
      <c r="P202" s="31">
        <v>793</v>
      </c>
      <c r="Q202" s="46">
        <f>'3-Digit Lotto Table'!D798</f>
        <v>0</v>
      </c>
      <c r="R202" s="31">
        <v>893</v>
      </c>
      <c r="S202" s="46">
        <f>'3-Digit Lotto Table'!D898</f>
        <v>0</v>
      </c>
      <c r="T202" s="36">
        <v>993</v>
      </c>
      <c r="U202" s="48">
        <f>'3-Digit Lotto Table'!D998</f>
        <v>0</v>
      </c>
    </row>
    <row r="203" spans="2:21" x14ac:dyDescent="0.3">
      <c r="B203" s="32">
        <v>94</v>
      </c>
      <c r="C203" s="44">
        <f>'3-Digit Lotto Table'!D99</f>
        <v>0</v>
      </c>
      <c r="D203" s="33">
        <v>194</v>
      </c>
      <c r="E203" s="44">
        <f>'3-Digit Lotto Table'!D199</f>
        <v>0</v>
      </c>
      <c r="F203" s="33">
        <v>294</v>
      </c>
      <c r="G203" s="44">
        <f>'3-Digit Lotto Table'!D299</f>
        <v>0</v>
      </c>
      <c r="H203" s="33">
        <v>394</v>
      </c>
      <c r="I203" s="44">
        <f>'3-Digit Lotto Table'!D399</f>
        <v>0</v>
      </c>
      <c r="J203" s="33">
        <v>494</v>
      </c>
      <c r="K203" s="46">
        <f>'3-Digit Lotto Table'!D499</f>
        <v>0</v>
      </c>
      <c r="L203" s="31">
        <v>594</v>
      </c>
      <c r="M203" s="46">
        <f>'3-Digit Lotto Table'!D599</f>
        <v>0</v>
      </c>
      <c r="N203" s="31">
        <v>694</v>
      </c>
      <c r="O203" s="46">
        <f>'3-Digit Lotto Table'!D699</f>
        <v>0</v>
      </c>
      <c r="P203" s="31">
        <v>794</v>
      </c>
      <c r="Q203" s="46">
        <f>'3-Digit Lotto Table'!D799</f>
        <v>0</v>
      </c>
      <c r="R203" s="31">
        <v>894</v>
      </c>
      <c r="S203" s="46">
        <f>'3-Digit Lotto Table'!D899</f>
        <v>0</v>
      </c>
      <c r="T203" s="36">
        <v>994</v>
      </c>
      <c r="U203" s="48">
        <f>'3-Digit Lotto Table'!D999</f>
        <v>0</v>
      </c>
    </row>
    <row r="204" spans="2:21" x14ac:dyDescent="0.3">
      <c r="B204" s="32">
        <v>95</v>
      </c>
      <c r="C204" s="44">
        <f>'3-Digit Lotto Table'!D100</f>
        <v>0</v>
      </c>
      <c r="D204" s="33">
        <v>195</v>
      </c>
      <c r="E204" s="44">
        <f>'3-Digit Lotto Table'!D200</f>
        <v>0</v>
      </c>
      <c r="F204" s="33">
        <v>295</v>
      </c>
      <c r="G204" s="44">
        <f>'3-Digit Lotto Table'!D300</f>
        <v>0</v>
      </c>
      <c r="H204" s="33">
        <v>395</v>
      </c>
      <c r="I204" s="44">
        <f>'3-Digit Lotto Table'!D400</f>
        <v>0</v>
      </c>
      <c r="J204" s="33">
        <v>495</v>
      </c>
      <c r="K204" s="46">
        <f>'3-Digit Lotto Table'!D500</f>
        <v>0</v>
      </c>
      <c r="L204" s="31">
        <v>595</v>
      </c>
      <c r="M204" s="46">
        <f>'3-Digit Lotto Table'!D600</f>
        <v>50</v>
      </c>
      <c r="N204" s="31">
        <v>695</v>
      </c>
      <c r="O204" s="46">
        <f>'3-Digit Lotto Table'!D700</f>
        <v>0</v>
      </c>
      <c r="P204" s="31">
        <v>795</v>
      </c>
      <c r="Q204" s="46">
        <f>'3-Digit Lotto Table'!D800</f>
        <v>0</v>
      </c>
      <c r="R204" s="31">
        <v>895</v>
      </c>
      <c r="S204" s="46">
        <f>'3-Digit Lotto Table'!D900</f>
        <v>50</v>
      </c>
      <c r="T204" s="36">
        <v>995</v>
      </c>
      <c r="U204" s="48">
        <f>'3-Digit Lotto Table'!D1000</f>
        <v>0</v>
      </c>
    </row>
    <row r="205" spans="2:21" x14ac:dyDescent="0.3">
      <c r="B205" s="32">
        <v>96</v>
      </c>
      <c r="C205" s="44">
        <f>'3-Digit Lotto Table'!D101</f>
        <v>0</v>
      </c>
      <c r="D205" s="33">
        <v>196</v>
      </c>
      <c r="E205" s="44">
        <f>'3-Digit Lotto Table'!D201</f>
        <v>0</v>
      </c>
      <c r="F205" s="33">
        <v>296</v>
      </c>
      <c r="G205" s="44">
        <f>'3-Digit Lotto Table'!D301</f>
        <v>0</v>
      </c>
      <c r="H205" s="33">
        <v>396</v>
      </c>
      <c r="I205" s="44">
        <f>'3-Digit Lotto Table'!D401</f>
        <v>50</v>
      </c>
      <c r="J205" s="33">
        <v>496</v>
      </c>
      <c r="K205" s="46">
        <f>'3-Digit Lotto Table'!D501</f>
        <v>0</v>
      </c>
      <c r="L205" s="31">
        <v>596</v>
      </c>
      <c r="M205" s="46">
        <f>'3-Digit Lotto Table'!D601</f>
        <v>0</v>
      </c>
      <c r="N205" s="31">
        <v>696</v>
      </c>
      <c r="O205" s="46">
        <f>'3-Digit Lotto Table'!D701</f>
        <v>0</v>
      </c>
      <c r="P205" s="31">
        <v>796</v>
      </c>
      <c r="Q205" s="46">
        <f>'3-Digit Lotto Table'!D801</f>
        <v>0</v>
      </c>
      <c r="R205" s="31">
        <v>896</v>
      </c>
      <c r="S205" s="46">
        <f>'3-Digit Lotto Table'!D901</f>
        <v>0</v>
      </c>
      <c r="T205" s="36">
        <v>996</v>
      </c>
      <c r="U205" s="48">
        <f>'3-Digit Lotto Table'!D1001</f>
        <v>0</v>
      </c>
    </row>
    <row r="206" spans="2:21" x14ac:dyDescent="0.3">
      <c r="B206" s="32">
        <v>97</v>
      </c>
      <c r="C206" s="44">
        <f>'3-Digit Lotto Table'!D102</f>
        <v>0</v>
      </c>
      <c r="D206" s="33">
        <v>197</v>
      </c>
      <c r="E206" s="44">
        <f>'3-Digit Lotto Table'!D202</f>
        <v>0</v>
      </c>
      <c r="F206" s="33">
        <v>297</v>
      </c>
      <c r="G206" s="44">
        <f>'3-Digit Lotto Table'!D302</f>
        <v>0</v>
      </c>
      <c r="H206" s="33">
        <v>397</v>
      </c>
      <c r="I206" s="44">
        <f>'3-Digit Lotto Table'!D402</f>
        <v>0</v>
      </c>
      <c r="J206" s="33">
        <v>497</v>
      </c>
      <c r="K206" s="46">
        <f>'3-Digit Lotto Table'!D502</f>
        <v>0</v>
      </c>
      <c r="L206" s="31">
        <v>597</v>
      </c>
      <c r="M206" s="46">
        <f>'3-Digit Lotto Table'!D602</f>
        <v>0</v>
      </c>
      <c r="N206" s="31">
        <v>697</v>
      </c>
      <c r="O206" s="46">
        <f>'3-Digit Lotto Table'!D702</f>
        <v>0</v>
      </c>
      <c r="P206" s="31">
        <v>797</v>
      </c>
      <c r="Q206" s="46">
        <f>'3-Digit Lotto Table'!D802</f>
        <v>0</v>
      </c>
      <c r="R206" s="31">
        <v>897</v>
      </c>
      <c r="S206" s="46">
        <f>'3-Digit Lotto Table'!D902</f>
        <v>0</v>
      </c>
      <c r="T206" s="36">
        <v>997</v>
      </c>
      <c r="U206" s="48">
        <f>'3-Digit Lotto Table'!D1002</f>
        <v>0</v>
      </c>
    </row>
    <row r="207" spans="2:21" x14ac:dyDescent="0.3">
      <c r="B207" s="32">
        <v>98</v>
      </c>
      <c r="C207" s="44">
        <f>'3-Digit Lotto Table'!D103</f>
        <v>0</v>
      </c>
      <c r="D207" s="33">
        <v>198</v>
      </c>
      <c r="E207" s="44">
        <f>'3-Digit Lotto Table'!D203</f>
        <v>0</v>
      </c>
      <c r="F207" s="33">
        <v>298</v>
      </c>
      <c r="G207" s="44">
        <f>'3-Digit Lotto Table'!D303</f>
        <v>0</v>
      </c>
      <c r="H207" s="33">
        <v>398</v>
      </c>
      <c r="I207" s="44">
        <f>'3-Digit Lotto Table'!D403</f>
        <v>0</v>
      </c>
      <c r="J207" s="33">
        <v>498</v>
      </c>
      <c r="K207" s="46">
        <f>'3-Digit Lotto Table'!D503</f>
        <v>0</v>
      </c>
      <c r="L207" s="31">
        <v>598</v>
      </c>
      <c r="M207" s="46">
        <f>'3-Digit Lotto Table'!D603</f>
        <v>150</v>
      </c>
      <c r="N207" s="31">
        <v>698</v>
      </c>
      <c r="O207" s="46">
        <f>'3-Digit Lotto Table'!D703</f>
        <v>0</v>
      </c>
      <c r="P207" s="31">
        <v>798</v>
      </c>
      <c r="Q207" s="46">
        <f>'3-Digit Lotto Table'!D803</f>
        <v>0</v>
      </c>
      <c r="R207" s="31">
        <v>898</v>
      </c>
      <c r="S207" s="46">
        <f>'3-Digit Lotto Table'!D903</f>
        <v>0</v>
      </c>
      <c r="T207" s="36">
        <v>998</v>
      </c>
      <c r="U207" s="48">
        <f>'3-Digit Lotto Table'!D1003</f>
        <v>0</v>
      </c>
    </row>
    <row r="208" spans="2:21" x14ac:dyDescent="0.3">
      <c r="B208" s="32">
        <v>99</v>
      </c>
      <c r="C208" s="44">
        <f>'3-Digit Lotto Table'!D104</f>
        <v>0</v>
      </c>
      <c r="D208" s="33">
        <v>199</v>
      </c>
      <c r="E208" s="44">
        <f>'3-Digit Lotto Table'!D204</f>
        <v>0</v>
      </c>
      <c r="F208" s="33">
        <v>299</v>
      </c>
      <c r="G208" s="44">
        <f>'3-Digit Lotto Table'!D304</f>
        <v>0</v>
      </c>
      <c r="H208" s="33">
        <v>399</v>
      </c>
      <c r="I208" s="44">
        <f>'3-Digit Lotto Table'!D404</f>
        <v>0</v>
      </c>
      <c r="J208" s="33">
        <v>499</v>
      </c>
      <c r="K208" s="46">
        <f>'3-Digit Lotto Table'!D504</f>
        <v>0</v>
      </c>
      <c r="L208" s="31">
        <v>599</v>
      </c>
      <c r="M208" s="46">
        <f>'3-Digit Lotto Table'!D604</f>
        <v>0</v>
      </c>
      <c r="N208" s="31">
        <v>699</v>
      </c>
      <c r="O208" s="46">
        <f>'3-Digit Lotto Table'!D704</f>
        <v>0</v>
      </c>
      <c r="P208" s="31">
        <v>799</v>
      </c>
      <c r="Q208" s="46">
        <f>'3-Digit Lotto Table'!D804</f>
        <v>0</v>
      </c>
      <c r="R208" s="31">
        <v>899</v>
      </c>
      <c r="S208" s="46">
        <f>'3-Digit Lotto Table'!D904</f>
        <v>0</v>
      </c>
      <c r="T208" s="36">
        <v>999</v>
      </c>
      <c r="U208" s="48">
        <f>'3-Digit Lotto Table'!D1004</f>
        <v>0</v>
      </c>
    </row>
    <row r="211" spans="2:21" x14ac:dyDescent="0.3">
      <c r="B211" s="65" t="s">
        <v>21</v>
      </c>
      <c r="C211" s="65"/>
      <c r="D211" s="65"/>
      <c r="E211" s="49">
        <f>'3-Digit Lotto Table'!G2</f>
        <v>1990</v>
      </c>
    </row>
    <row r="213" spans="2:21" x14ac:dyDescent="0.3">
      <c r="B213" s="32">
        <v>0</v>
      </c>
      <c r="C213" s="44">
        <f>'3-Digit Lotto Table'!G5</f>
        <v>0</v>
      </c>
      <c r="D213" s="33">
        <v>100</v>
      </c>
      <c r="E213" s="44">
        <f>'3-Digit Lotto Table'!G105</f>
        <v>0</v>
      </c>
      <c r="F213" s="33">
        <v>200</v>
      </c>
      <c r="G213" s="44">
        <f>'3-Digit Lotto Table'!G205</f>
        <v>0</v>
      </c>
      <c r="H213" s="33">
        <v>300</v>
      </c>
      <c r="I213" s="44">
        <f>'3-Digit Lotto Table'!G305</f>
        <v>0</v>
      </c>
      <c r="J213" s="33">
        <v>400</v>
      </c>
      <c r="K213" s="46">
        <f>'3-Digit Lotto Table'!G405</f>
        <v>0</v>
      </c>
      <c r="L213" s="31">
        <v>500</v>
      </c>
      <c r="M213" s="46">
        <f>'3-Digit Lotto Table'!G505</f>
        <v>0</v>
      </c>
      <c r="N213" s="31">
        <v>600</v>
      </c>
      <c r="O213" s="46">
        <f>'3-Digit Lotto Table'!G605</f>
        <v>0</v>
      </c>
      <c r="P213" s="31">
        <v>700</v>
      </c>
      <c r="Q213" s="46">
        <f>'3-Digit Lotto Table'!G705</f>
        <v>0</v>
      </c>
      <c r="R213" s="31">
        <v>800</v>
      </c>
      <c r="S213" s="46">
        <f>'3-Digit Lotto Table'!G805</f>
        <v>0</v>
      </c>
      <c r="T213" s="36">
        <v>900</v>
      </c>
      <c r="U213" s="48">
        <f>'3-Digit Lotto Table'!G905</f>
        <v>50</v>
      </c>
    </row>
    <row r="214" spans="2:21" x14ac:dyDescent="0.3">
      <c r="B214" s="32">
        <v>1</v>
      </c>
      <c r="C214" s="44">
        <f>'3-Digit Lotto Table'!G6</f>
        <v>0</v>
      </c>
      <c r="D214" s="33">
        <v>101</v>
      </c>
      <c r="E214" s="44">
        <f>'3-Digit Lotto Table'!G106</f>
        <v>0</v>
      </c>
      <c r="F214" s="33">
        <v>201</v>
      </c>
      <c r="G214" s="44">
        <f>'3-Digit Lotto Table'!G206</f>
        <v>0</v>
      </c>
      <c r="H214" s="33">
        <v>301</v>
      </c>
      <c r="I214" s="44">
        <f>'3-Digit Lotto Table'!G306</f>
        <v>0</v>
      </c>
      <c r="J214" s="33">
        <v>401</v>
      </c>
      <c r="K214" s="46">
        <f>'3-Digit Lotto Table'!G406</f>
        <v>0</v>
      </c>
      <c r="L214" s="31">
        <v>501</v>
      </c>
      <c r="M214" s="46">
        <f>'3-Digit Lotto Table'!G506</f>
        <v>0</v>
      </c>
      <c r="N214" s="31">
        <v>601</v>
      </c>
      <c r="O214" s="46">
        <f>'3-Digit Lotto Table'!G606</f>
        <v>0</v>
      </c>
      <c r="P214" s="31">
        <v>701</v>
      </c>
      <c r="Q214" s="46">
        <f>'3-Digit Lotto Table'!G706</f>
        <v>0</v>
      </c>
      <c r="R214" s="31">
        <v>801</v>
      </c>
      <c r="S214" s="46">
        <f>'3-Digit Lotto Table'!G806</f>
        <v>0</v>
      </c>
      <c r="T214" s="36">
        <v>901</v>
      </c>
      <c r="U214" s="48">
        <f>'3-Digit Lotto Table'!G906</f>
        <v>0</v>
      </c>
    </row>
    <row r="215" spans="2:21" x14ac:dyDescent="0.3">
      <c r="B215" s="32">
        <v>2</v>
      </c>
      <c r="C215" s="44">
        <f>'3-Digit Lotto Table'!G7</f>
        <v>0</v>
      </c>
      <c r="D215" s="33">
        <v>102</v>
      </c>
      <c r="E215" s="44">
        <f>'3-Digit Lotto Table'!G107</f>
        <v>0</v>
      </c>
      <c r="F215" s="33">
        <v>202</v>
      </c>
      <c r="G215" s="44">
        <f>'3-Digit Lotto Table'!G207</f>
        <v>0</v>
      </c>
      <c r="H215" s="33">
        <v>302</v>
      </c>
      <c r="I215" s="44">
        <f>'3-Digit Lotto Table'!G307</f>
        <v>0</v>
      </c>
      <c r="J215" s="33">
        <v>402</v>
      </c>
      <c r="K215" s="46">
        <f>'3-Digit Lotto Table'!G407</f>
        <v>0</v>
      </c>
      <c r="L215" s="31">
        <v>502</v>
      </c>
      <c r="M215" s="46">
        <f>'3-Digit Lotto Table'!G507</f>
        <v>0</v>
      </c>
      <c r="N215" s="31">
        <v>602</v>
      </c>
      <c r="O215" s="46">
        <f>'3-Digit Lotto Table'!G607</f>
        <v>0</v>
      </c>
      <c r="P215" s="31">
        <v>702</v>
      </c>
      <c r="Q215" s="46">
        <f>'3-Digit Lotto Table'!G707</f>
        <v>0</v>
      </c>
      <c r="R215" s="31">
        <v>802</v>
      </c>
      <c r="S215" s="46">
        <f>'3-Digit Lotto Table'!G807</f>
        <v>0</v>
      </c>
      <c r="T215" s="36">
        <v>902</v>
      </c>
      <c r="U215" s="48">
        <f>'3-Digit Lotto Table'!G907</f>
        <v>0</v>
      </c>
    </row>
    <row r="216" spans="2:21" x14ac:dyDescent="0.3">
      <c r="B216" s="32">
        <v>3</v>
      </c>
      <c r="C216" s="44">
        <f>'3-Digit Lotto Table'!G8</f>
        <v>0</v>
      </c>
      <c r="D216" s="33">
        <v>103</v>
      </c>
      <c r="E216" s="44">
        <f>'3-Digit Lotto Table'!G108</f>
        <v>0</v>
      </c>
      <c r="F216" s="33">
        <v>203</v>
      </c>
      <c r="G216" s="44">
        <f>'3-Digit Lotto Table'!G208</f>
        <v>0</v>
      </c>
      <c r="H216" s="33">
        <v>303</v>
      </c>
      <c r="I216" s="44">
        <f>'3-Digit Lotto Table'!G308</f>
        <v>0</v>
      </c>
      <c r="J216" s="33">
        <v>403</v>
      </c>
      <c r="K216" s="46">
        <f>'3-Digit Lotto Table'!G408</f>
        <v>0</v>
      </c>
      <c r="L216" s="31">
        <v>503</v>
      </c>
      <c r="M216" s="46">
        <f>'3-Digit Lotto Table'!G508</f>
        <v>0</v>
      </c>
      <c r="N216" s="31">
        <v>603</v>
      </c>
      <c r="O216" s="46">
        <f>'3-Digit Lotto Table'!G608</f>
        <v>50</v>
      </c>
      <c r="P216" s="31">
        <v>703</v>
      </c>
      <c r="Q216" s="46">
        <f>'3-Digit Lotto Table'!G708</f>
        <v>0</v>
      </c>
      <c r="R216" s="31">
        <v>803</v>
      </c>
      <c r="S216" s="46">
        <f>'3-Digit Lotto Table'!G808</f>
        <v>0</v>
      </c>
      <c r="T216" s="36">
        <v>903</v>
      </c>
      <c r="U216" s="48">
        <f>'3-Digit Lotto Table'!G908</f>
        <v>0</v>
      </c>
    </row>
    <row r="217" spans="2:21" x14ac:dyDescent="0.3">
      <c r="B217" s="32">
        <v>4</v>
      </c>
      <c r="C217" s="44">
        <f>'3-Digit Lotto Table'!G9</f>
        <v>0</v>
      </c>
      <c r="D217" s="33">
        <v>104</v>
      </c>
      <c r="E217" s="44">
        <f>'3-Digit Lotto Table'!G109</f>
        <v>0</v>
      </c>
      <c r="F217" s="33">
        <v>204</v>
      </c>
      <c r="G217" s="44">
        <f>'3-Digit Lotto Table'!G209</f>
        <v>0</v>
      </c>
      <c r="H217" s="33">
        <v>304</v>
      </c>
      <c r="I217" s="44">
        <f>'3-Digit Lotto Table'!G309</f>
        <v>0</v>
      </c>
      <c r="J217" s="33">
        <v>404</v>
      </c>
      <c r="K217" s="46">
        <f>'3-Digit Lotto Table'!G409</f>
        <v>0</v>
      </c>
      <c r="L217" s="31">
        <v>504</v>
      </c>
      <c r="M217" s="46">
        <f>'3-Digit Lotto Table'!G509</f>
        <v>0</v>
      </c>
      <c r="N217" s="31">
        <v>604</v>
      </c>
      <c r="O217" s="46">
        <f>'3-Digit Lotto Table'!G609</f>
        <v>0</v>
      </c>
      <c r="P217" s="31">
        <v>704</v>
      </c>
      <c r="Q217" s="46">
        <f>'3-Digit Lotto Table'!G709</f>
        <v>0</v>
      </c>
      <c r="R217" s="31">
        <v>804</v>
      </c>
      <c r="S217" s="46">
        <f>'3-Digit Lotto Table'!G809</f>
        <v>0</v>
      </c>
      <c r="T217" s="36">
        <v>904</v>
      </c>
      <c r="U217" s="48">
        <f>'3-Digit Lotto Table'!G909</f>
        <v>0</v>
      </c>
    </row>
    <row r="218" spans="2:21" x14ac:dyDescent="0.3">
      <c r="B218" s="32">
        <v>5</v>
      </c>
      <c r="C218" s="44">
        <f>'3-Digit Lotto Table'!G10</f>
        <v>0</v>
      </c>
      <c r="D218" s="33">
        <v>105</v>
      </c>
      <c r="E218" s="44">
        <f>'3-Digit Lotto Table'!G110</f>
        <v>0</v>
      </c>
      <c r="F218" s="33">
        <v>205</v>
      </c>
      <c r="G218" s="44">
        <f>'3-Digit Lotto Table'!G210</f>
        <v>0</v>
      </c>
      <c r="H218" s="33">
        <v>305</v>
      </c>
      <c r="I218" s="44">
        <f>'3-Digit Lotto Table'!G310</f>
        <v>0</v>
      </c>
      <c r="J218" s="33">
        <v>405</v>
      </c>
      <c r="K218" s="46">
        <f>'3-Digit Lotto Table'!G410</f>
        <v>0</v>
      </c>
      <c r="L218" s="31">
        <v>505</v>
      </c>
      <c r="M218" s="46">
        <f>'3-Digit Lotto Table'!G510</f>
        <v>0</v>
      </c>
      <c r="N218" s="31">
        <v>605</v>
      </c>
      <c r="O218" s="46">
        <f>'3-Digit Lotto Table'!G610</f>
        <v>0</v>
      </c>
      <c r="P218" s="31">
        <v>705</v>
      </c>
      <c r="Q218" s="46">
        <f>'3-Digit Lotto Table'!G710</f>
        <v>0</v>
      </c>
      <c r="R218" s="31">
        <v>805</v>
      </c>
      <c r="S218" s="46">
        <f>'3-Digit Lotto Table'!G810</f>
        <v>0</v>
      </c>
      <c r="T218" s="36">
        <v>905</v>
      </c>
      <c r="U218" s="48">
        <f>'3-Digit Lotto Table'!G910</f>
        <v>0</v>
      </c>
    </row>
    <row r="219" spans="2:21" x14ac:dyDescent="0.3">
      <c r="B219" s="32">
        <v>6</v>
      </c>
      <c r="C219" s="44">
        <f>'3-Digit Lotto Table'!G11</f>
        <v>0</v>
      </c>
      <c r="D219" s="33">
        <v>106</v>
      </c>
      <c r="E219" s="44">
        <f>'3-Digit Lotto Table'!G111</f>
        <v>0</v>
      </c>
      <c r="F219" s="33">
        <v>206</v>
      </c>
      <c r="G219" s="44">
        <f>'3-Digit Lotto Table'!G211</f>
        <v>0</v>
      </c>
      <c r="H219" s="33">
        <v>306</v>
      </c>
      <c r="I219" s="44">
        <f>'3-Digit Lotto Table'!G311</f>
        <v>0</v>
      </c>
      <c r="J219" s="33">
        <v>406</v>
      </c>
      <c r="K219" s="46">
        <f>'3-Digit Lotto Table'!G411</f>
        <v>0</v>
      </c>
      <c r="L219" s="31">
        <v>506</v>
      </c>
      <c r="M219" s="46">
        <f>'3-Digit Lotto Table'!G511</f>
        <v>0</v>
      </c>
      <c r="N219" s="31">
        <v>606</v>
      </c>
      <c r="O219" s="46">
        <f>'3-Digit Lotto Table'!G611</f>
        <v>0</v>
      </c>
      <c r="P219" s="31">
        <v>706</v>
      </c>
      <c r="Q219" s="46">
        <f>'3-Digit Lotto Table'!G711</f>
        <v>0</v>
      </c>
      <c r="R219" s="31">
        <v>806</v>
      </c>
      <c r="S219" s="46">
        <f>'3-Digit Lotto Table'!G811</f>
        <v>0</v>
      </c>
      <c r="T219" s="36">
        <v>906</v>
      </c>
      <c r="U219" s="48">
        <f>'3-Digit Lotto Table'!G911</f>
        <v>0</v>
      </c>
    </row>
    <row r="220" spans="2:21" x14ac:dyDescent="0.3">
      <c r="B220" s="32">
        <v>7</v>
      </c>
      <c r="C220" s="44">
        <f>'3-Digit Lotto Table'!G12</f>
        <v>0</v>
      </c>
      <c r="D220" s="33">
        <v>107</v>
      </c>
      <c r="E220" s="44">
        <f>'3-Digit Lotto Table'!G112</f>
        <v>0</v>
      </c>
      <c r="F220" s="33">
        <v>207</v>
      </c>
      <c r="G220" s="44">
        <f>'3-Digit Lotto Table'!G212</f>
        <v>0</v>
      </c>
      <c r="H220" s="33">
        <v>307</v>
      </c>
      <c r="I220" s="44">
        <f>'3-Digit Lotto Table'!G312</f>
        <v>0</v>
      </c>
      <c r="J220" s="33">
        <v>407</v>
      </c>
      <c r="K220" s="46">
        <f>'3-Digit Lotto Table'!G412</f>
        <v>0</v>
      </c>
      <c r="L220" s="31">
        <v>507</v>
      </c>
      <c r="M220" s="46">
        <f>'3-Digit Lotto Table'!G512</f>
        <v>0</v>
      </c>
      <c r="N220" s="31">
        <v>607</v>
      </c>
      <c r="O220" s="46">
        <f>'3-Digit Lotto Table'!G612</f>
        <v>0</v>
      </c>
      <c r="P220" s="31">
        <v>707</v>
      </c>
      <c r="Q220" s="46">
        <f>'3-Digit Lotto Table'!G712</f>
        <v>0</v>
      </c>
      <c r="R220" s="31">
        <v>807</v>
      </c>
      <c r="S220" s="46">
        <f>'3-Digit Lotto Table'!G812</f>
        <v>0</v>
      </c>
      <c r="T220" s="36">
        <v>907</v>
      </c>
      <c r="U220" s="48">
        <f>'3-Digit Lotto Table'!G912</f>
        <v>0</v>
      </c>
    </row>
    <row r="221" spans="2:21" x14ac:dyDescent="0.3">
      <c r="B221" s="32">
        <v>8</v>
      </c>
      <c r="C221" s="44">
        <f>'3-Digit Lotto Table'!G13</f>
        <v>0</v>
      </c>
      <c r="D221" s="33">
        <v>108</v>
      </c>
      <c r="E221" s="44">
        <f>'3-Digit Lotto Table'!G113</f>
        <v>0</v>
      </c>
      <c r="F221" s="33">
        <v>208</v>
      </c>
      <c r="G221" s="44">
        <f>'3-Digit Lotto Table'!G213</f>
        <v>0</v>
      </c>
      <c r="H221" s="33">
        <v>308</v>
      </c>
      <c r="I221" s="44">
        <f>'3-Digit Lotto Table'!G313</f>
        <v>0</v>
      </c>
      <c r="J221" s="33">
        <v>408</v>
      </c>
      <c r="K221" s="46">
        <f>'3-Digit Lotto Table'!G413</f>
        <v>0</v>
      </c>
      <c r="L221" s="31">
        <v>508</v>
      </c>
      <c r="M221" s="46">
        <f>'3-Digit Lotto Table'!G513</f>
        <v>0</v>
      </c>
      <c r="N221" s="31">
        <v>608</v>
      </c>
      <c r="O221" s="46">
        <f>'3-Digit Lotto Table'!G613</f>
        <v>0</v>
      </c>
      <c r="P221" s="31">
        <v>708</v>
      </c>
      <c r="Q221" s="46">
        <f>'3-Digit Lotto Table'!G713</f>
        <v>0</v>
      </c>
      <c r="R221" s="31">
        <v>808</v>
      </c>
      <c r="S221" s="46">
        <f>'3-Digit Lotto Table'!G813</f>
        <v>0</v>
      </c>
      <c r="T221" s="36">
        <v>908</v>
      </c>
      <c r="U221" s="48">
        <f>'3-Digit Lotto Table'!G913</f>
        <v>0</v>
      </c>
    </row>
    <row r="222" spans="2:21" x14ac:dyDescent="0.3">
      <c r="B222" s="32">
        <v>9</v>
      </c>
      <c r="C222" s="44">
        <f>'3-Digit Lotto Table'!G14</f>
        <v>50</v>
      </c>
      <c r="D222" s="33">
        <v>109</v>
      </c>
      <c r="E222" s="44">
        <f>'3-Digit Lotto Table'!G114</f>
        <v>0</v>
      </c>
      <c r="F222" s="33">
        <v>209</v>
      </c>
      <c r="G222" s="44">
        <f>'3-Digit Lotto Table'!G214</f>
        <v>0</v>
      </c>
      <c r="H222" s="33">
        <v>309</v>
      </c>
      <c r="I222" s="44">
        <f>'3-Digit Lotto Table'!G314</f>
        <v>0</v>
      </c>
      <c r="J222" s="33">
        <v>409</v>
      </c>
      <c r="K222" s="46">
        <f>'3-Digit Lotto Table'!G414</f>
        <v>0</v>
      </c>
      <c r="L222" s="31">
        <v>509</v>
      </c>
      <c r="M222" s="46">
        <f>'3-Digit Lotto Table'!G514</f>
        <v>0</v>
      </c>
      <c r="N222" s="31">
        <v>609</v>
      </c>
      <c r="O222" s="46">
        <f>'3-Digit Lotto Table'!G614</f>
        <v>0</v>
      </c>
      <c r="P222" s="31">
        <v>709</v>
      </c>
      <c r="Q222" s="46">
        <f>'3-Digit Lotto Table'!G714</f>
        <v>0</v>
      </c>
      <c r="R222" s="31">
        <v>809</v>
      </c>
      <c r="S222" s="46">
        <f>'3-Digit Lotto Table'!G814</f>
        <v>0</v>
      </c>
      <c r="T222" s="36">
        <v>909</v>
      </c>
      <c r="U222" s="48">
        <f>'3-Digit Lotto Table'!G914</f>
        <v>0</v>
      </c>
    </row>
    <row r="223" spans="2:21" x14ac:dyDescent="0.3">
      <c r="B223" s="32">
        <v>10</v>
      </c>
      <c r="C223" s="44">
        <f>'3-Digit Lotto Table'!G15</f>
        <v>0</v>
      </c>
      <c r="D223" s="33">
        <v>110</v>
      </c>
      <c r="E223" s="44">
        <f>'3-Digit Lotto Table'!G115</f>
        <v>0</v>
      </c>
      <c r="F223" s="33">
        <v>210</v>
      </c>
      <c r="G223" s="44">
        <f>'3-Digit Lotto Table'!G215</f>
        <v>0</v>
      </c>
      <c r="H223" s="33">
        <v>310</v>
      </c>
      <c r="I223" s="44">
        <f>'3-Digit Lotto Table'!G315</f>
        <v>50</v>
      </c>
      <c r="J223" s="33">
        <v>410</v>
      </c>
      <c r="K223" s="46">
        <f>'3-Digit Lotto Table'!G415</f>
        <v>0</v>
      </c>
      <c r="L223" s="31">
        <v>510</v>
      </c>
      <c r="M223" s="46">
        <f>'3-Digit Lotto Table'!G515</f>
        <v>0</v>
      </c>
      <c r="N223" s="31">
        <v>610</v>
      </c>
      <c r="O223" s="46">
        <f>'3-Digit Lotto Table'!G615</f>
        <v>0</v>
      </c>
      <c r="P223" s="31">
        <v>710</v>
      </c>
      <c r="Q223" s="46">
        <f>'3-Digit Lotto Table'!G715</f>
        <v>0</v>
      </c>
      <c r="R223" s="31">
        <v>810</v>
      </c>
      <c r="S223" s="46">
        <f>'3-Digit Lotto Table'!G815</f>
        <v>0</v>
      </c>
      <c r="T223" s="36">
        <v>910</v>
      </c>
      <c r="U223" s="48">
        <f>'3-Digit Lotto Table'!G915</f>
        <v>0</v>
      </c>
    </row>
    <row r="224" spans="2:21" x14ac:dyDescent="0.3">
      <c r="B224" s="32">
        <v>11</v>
      </c>
      <c r="C224" s="44">
        <f>'3-Digit Lotto Table'!G16</f>
        <v>0</v>
      </c>
      <c r="D224" s="33">
        <v>111</v>
      </c>
      <c r="E224" s="44">
        <f>'3-Digit Lotto Table'!G116</f>
        <v>0</v>
      </c>
      <c r="F224" s="33">
        <v>211</v>
      </c>
      <c r="G224" s="44">
        <f>'3-Digit Lotto Table'!G216</f>
        <v>0</v>
      </c>
      <c r="H224" s="33">
        <v>311</v>
      </c>
      <c r="I224" s="44">
        <f>'3-Digit Lotto Table'!G316</f>
        <v>0</v>
      </c>
      <c r="J224" s="33">
        <v>411</v>
      </c>
      <c r="K224" s="46">
        <f>'3-Digit Lotto Table'!G416</f>
        <v>0</v>
      </c>
      <c r="L224" s="31">
        <v>511</v>
      </c>
      <c r="M224" s="46">
        <f>'3-Digit Lotto Table'!G516</f>
        <v>0</v>
      </c>
      <c r="N224" s="31">
        <v>611</v>
      </c>
      <c r="O224" s="46">
        <f>'3-Digit Lotto Table'!G616</f>
        <v>0</v>
      </c>
      <c r="P224" s="31">
        <v>711</v>
      </c>
      <c r="Q224" s="46">
        <f>'3-Digit Lotto Table'!G716</f>
        <v>0</v>
      </c>
      <c r="R224" s="31">
        <v>811</v>
      </c>
      <c r="S224" s="46">
        <f>'3-Digit Lotto Table'!G816</f>
        <v>0</v>
      </c>
      <c r="T224" s="36">
        <v>911</v>
      </c>
      <c r="U224" s="48">
        <f>'3-Digit Lotto Table'!G916</f>
        <v>0</v>
      </c>
    </row>
    <row r="225" spans="2:21" x14ac:dyDescent="0.3">
      <c r="B225" s="32">
        <v>12</v>
      </c>
      <c r="C225" s="44">
        <f>'3-Digit Lotto Table'!G17</f>
        <v>0</v>
      </c>
      <c r="D225" s="33">
        <v>112</v>
      </c>
      <c r="E225" s="44">
        <f>'3-Digit Lotto Table'!G117</f>
        <v>0</v>
      </c>
      <c r="F225" s="33">
        <v>212</v>
      </c>
      <c r="G225" s="44">
        <f>'3-Digit Lotto Table'!G217</f>
        <v>0</v>
      </c>
      <c r="H225" s="33">
        <v>312</v>
      </c>
      <c r="I225" s="44">
        <f>'3-Digit Lotto Table'!G317</f>
        <v>0</v>
      </c>
      <c r="J225" s="33">
        <v>412</v>
      </c>
      <c r="K225" s="46">
        <f>'3-Digit Lotto Table'!G417</f>
        <v>0</v>
      </c>
      <c r="L225" s="31">
        <v>512</v>
      </c>
      <c r="M225" s="46">
        <f>'3-Digit Lotto Table'!G517</f>
        <v>0</v>
      </c>
      <c r="N225" s="31">
        <v>612</v>
      </c>
      <c r="O225" s="46">
        <f>'3-Digit Lotto Table'!G617</f>
        <v>0</v>
      </c>
      <c r="P225" s="31">
        <v>712</v>
      </c>
      <c r="Q225" s="46">
        <f>'3-Digit Lotto Table'!G717</f>
        <v>0</v>
      </c>
      <c r="R225" s="31">
        <v>812</v>
      </c>
      <c r="S225" s="46">
        <f>'3-Digit Lotto Table'!G817</f>
        <v>0</v>
      </c>
      <c r="T225" s="36">
        <v>912</v>
      </c>
      <c r="U225" s="48">
        <f>'3-Digit Lotto Table'!G917</f>
        <v>0</v>
      </c>
    </row>
    <row r="226" spans="2:21" x14ac:dyDescent="0.3">
      <c r="B226" s="32">
        <v>13</v>
      </c>
      <c r="C226" s="44">
        <f>'3-Digit Lotto Table'!G18</f>
        <v>0</v>
      </c>
      <c r="D226" s="33">
        <v>113</v>
      </c>
      <c r="E226" s="44">
        <f>'3-Digit Lotto Table'!G118</f>
        <v>0</v>
      </c>
      <c r="F226" s="33">
        <v>213</v>
      </c>
      <c r="G226" s="44">
        <f>'3-Digit Lotto Table'!G218</f>
        <v>0</v>
      </c>
      <c r="H226" s="33">
        <v>313</v>
      </c>
      <c r="I226" s="44">
        <f>'3-Digit Lotto Table'!G318</f>
        <v>0</v>
      </c>
      <c r="J226" s="33">
        <v>413</v>
      </c>
      <c r="K226" s="46">
        <f>'3-Digit Lotto Table'!G418</f>
        <v>0</v>
      </c>
      <c r="L226" s="31">
        <v>513</v>
      </c>
      <c r="M226" s="46">
        <f>'3-Digit Lotto Table'!G518</f>
        <v>0</v>
      </c>
      <c r="N226" s="31">
        <v>613</v>
      </c>
      <c r="O226" s="46">
        <f>'3-Digit Lotto Table'!G618</f>
        <v>0</v>
      </c>
      <c r="P226" s="31">
        <v>713</v>
      </c>
      <c r="Q226" s="46">
        <f>'3-Digit Lotto Table'!G718</f>
        <v>0</v>
      </c>
      <c r="R226" s="31">
        <v>813</v>
      </c>
      <c r="S226" s="46">
        <f>'3-Digit Lotto Table'!G818</f>
        <v>0</v>
      </c>
      <c r="T226" s="36">
        <v>913</v>
      </c>
      <c r="U226" s="48">
        <f>'3-Digit Lotto Table'!G918</f>
        <v>0</v>
      </c>
    </row>
    <row r="227" spans="2:21" x14ac:dyDescent="0.3">
      <c r="B227" s="32">
        <v>14</v>
      </c>
      <c r="C227" s="44">
        <f>'3-Digit Lotto Table'!G19</f>
        <v>0</v>
      </c>
      <c r="D227" s="33">
        <v>114</v>
      </c>
      <c r="E227" s="44">
        <f>'3-Digit Lotto Table'!G119</f>
        <v>0</v>
      </c>
      <c r="F227" s="33">
        <v>214</v>
      </c>
      <c r="G227" s="44">
        <f>'3-Digit Lotto Table'!G219</f>
        <v>0</v>
      </c>
      <c r="H227" s="33">
        <v>314</v>
      </c>
      <c r="I227" s="44">
        <f>'3-Digit Lotto Table'!G319</f>
        <v>0</v>
      </c>
      <c r="J227" s="33">
        <v>414</v>
      </c>
      <c r="K227" s="46">
        <f>'3-Digit Lotto Table'!G419</f>
        <v>0</v>
      </c>
      <c r="L227" s="31">
        <v>514</v>
      </c>
      <c r="M227" s="46">
        <f>'3-Digit Lotto Table'!G519</f>
        <v>0</v>
      </c>
      <c r="N227" s="31">
        <v>614</v>
      </c>
      <c r="O227" s="46">
        <f>'3-Digit Lotto Table'!G619</f>
        <v>0</v>
      </c>
      <c r="P227" s="31">
        <v>714</v>
      </c>
      <c r="Q227" s="46">
        <f>'3-Digit Lotto Table'!G719</f>
        <v>0</v>
      </c>
      <c r="R227" s="31">
        <v>814</v>
      </c>
      <c r="S227" s="46">
        <f>'3-Digit Lotto Table'!G819</f>
        <v>0</v>
      </c>
      <c r="T227" s="36">
        <v>914</v>
      </c>
      <c r="U227" s="48">
        <f>'3-Digit Lotto Table'!G919</f>
        <v>0</v>
      </c>
    </row>
    <row r="228" spans="2:21" x14ac:dyDescent="0.3">
      <c r="B228" s="32">
        <v>15</v>
      </c>
      <c r="C228" s="44">
        <f>'3-Digit Lotto Table'!G20</f>
        <v>20</v>
      </c>
      <c r="D228" s="33">
        <v>115</v>
      </c>
      <c r="E228" s="44">
        <f>'3-Digit Lotto Table'!G120</f>
        <v>0</v>
      </c>
      <c r="F228" s="33">
        <v>215</v>
      </c>
      <c r="G228" s="44">
        <f>'3-Digit Lotto Table'!G220</f>
        <v>0</v>
      </c>
      <c r="H228" s="33">
        <v>315</v>
      </c>
      <c r="I228" s="44">
        <f>'3-Digit Lotto Table'!G320</f>
        <v>0</v>
      </c>
      <c r="J228" s="33">
        <v>415</v>
      </c>
      <c r="K228" s="46">
        <f>'3-Digit Lotto Table'!G420</f>
        <v>0</v>
      </c>
      <c r="L228" s="31">
        <v>515</v>
      </c>
      <c r="M228" s="46">
        <f>'3-Digit Lotto Table'!G520</f>
        <v>0</v>
      </c>
      <c r="N228" s="31">
        <v>615</v>
      </c>
      <c r="O228" s="46">
        <f>'3-Digit Lotto Table'!G620</f>
        <v>0</v>
      </c>
      <c r="P228" s="31">
        <v>715</v>
      </c>
      <c r="Q228" s="46">
        <f>'3-Digit Lotto Table'!G720</f>
        <v>0</v>
      </c>
      <c r="R228" s="31">
        <v>815</v>
      </c>
      <c r="S228" s="46">
        <f>'3-Digit Lotto Table'!G820</f>
        <v>0</v>
      </c>
      <c r="T228" s="36">
        <v>915</v>
      </c>
      <c r="U228" s="48">
        <f>'3-Digit Lotto Table'!G920</f>
        <v>0</v>
      </c>
    </row>
    <row r="229" spans="2:21" x14ac:dyDescent="0.3">
      <c r="B229" s="32">
        <v>16</v>
      </c>
      <c r="C229" s="44">
        <f>'3-Digit Lotto Table'!G21</f>
        <v>0</v>
      </c>
      <c r="D229" s="33">
        <v>116</v>
      </c>
      <c r="E229" s="44">
        <f>'3-Digit Lotto Table'!G121</f>
        <v>0</v>
      </c>
      <c r="F229" s="33">
        <v>216</v>
      </c>
      <c r="G229" s="44">
        <f>'3-Digit Lotto Table'!G221</f>
        <v>0</v>
      </c>
      <c r="H229" s="33">
        <v>316</v>
      </c>
      <c r="I229" s="44">
        <f>'3-Digit Lotto Table'!G321</f>
        <v>0</v>
      </c>
      <c r="J229" s="33">
        <v>416</v>
      </c>
      <c r="K229" s="46">
        <f>'3-Digit Lotto Table'!G421</f>
        <v>0</v>
      </c>
      <c r="L229" s="31">
        <v>516</v>
      </c>
      <c r="M229" s="46">
        <f>'3-Digit Lotto Table'!G521</f>
        <v>0</v>
      </c>
      <c r="N229" s="31">
        <v>616</v>
      </c>
      <c r="O229" s="46">
        <f>'3-Digit Lotto Table'!G621</f>
        <v>0</v>
      </c>
      <c r="P229" s="31">
        <v>716</v>
      </c>
      <c r="Q229" s="46">
        <f>'3-Digit Lotto Table'!G721</f>
        <v>0</v>
      </c>
      <c r="R229" s="31">
        <v>816</v>
      </c>
      <c r="S229" s="46">
        <f>'3-Digit Lotto Table'!G821</f>
        <v>0</v>
      </c>
      <c r="T229" s="36">
        <v>916</v>
      </c>
      <c r="U229" s="48">
        <f>'3-Digit Lotto Table'!G921</f>
        <v>0</v>
      </c>
    </row>
    <row r="230" spans="2:21" x14ac:dyDescent="0.3">
      <c r="B230" s="32">
        <v>17</v>
      </c>
      <c r="C230" s="44">
        <f>'3-Digit Lotto Table'!G22</f>
        <v>0</v>
      </c>
      <c r="D230" s="33">
        <v>117</v>
      </c>
      <c r="E230" s="44">
        <f>'3-Digit Lotto Table'!G122</f>
        <v>0</v>
      </c>
      <c r="F230" s="33">
        <v>217</v>
      </c>
      <c r="G230" s="44">
        <f>'3-Digit Lotto Table'!G222</f>
        <v>0</v>
      </c>
      <c r="H230" s="33">
        <v>317</v>
      </c>
      <c r="I230" s="44">
        <f>'3-Digit Lotto Table'!G322</f>
        <v>0</v>
      </c>
      <c r="J230" s="33">
        <v>417</v>
      </c>
      <c r="K230" s="46">
        <f>'3-Digit Lotto Table'!G422</f>
        <v>0</v>
      </c>
      <c r="L230" s="31">
        <v>517</v>
      </c>
      <c r="M230" s="46">
        <f>'3-Digit Lotto Table'!G522</f>
        <v>0</v>
      </c>
      <c r="N230" s="31">
        <v>617</v>
      </c>
      <c r="O230" s="46">
        <f>'3-Digit Lotto Table'!G622</f>
        <v>0</v>
      </c>
      <c r="P230" s="31">
        <v>717</v>
      </c>
      <c r="Q230" s="46">
        <f>'3-Digit Lotto Table'!G722</f>
        <v>0</v>
      </c>
      <c r="R230" s="31">
        <v>817</v>
      </c>
      <c r="S230" s="46">
        <f>'3-Digit Lotto Table'!G822</f>
        <v>0</v>
      </c>
      <c r="T230" s="36">
        <v>917</v>
      </c>
      <c r="U230" s="48">
        <f>'3-Digit Lotto Table'!G922</f>
        <v>0</v>
      </c>
    </row>
    <row r="231" spans="2:21" x14ac:dyDescent="0.3">
      <c r="B231" s="32">
        <v>18</v>
      </c>
      <c r="C231" s="44">
        <f>'3-Digit Lotto Table'!G23</f>
        <v>0</v>
      </c>
      <c r="D231" s="33">
        <v>118</v>
      </c>
      <c r="E231" s="44">
        <f>'3-Digit Lotto Table'!G123</f>
        <v>0</v>
      </c>
      <c r="F231" s="33">
        <v>218</v>
      </c>
      <c r="G231" s="44">
        <f>'3-Digit Lotto Table'!G223</f>
        <v>0</v>
      </c>
      <c r="H231" s="33">
        <v>318</v>
      </c>
      <c r="I231" s="44">
        <f>'3-Digit Lotto Table'!G323</f>
        <v>0</v>
      </c>
      <c r="J231" s="33">
        <v>418</v>
      </c>
      <c r="K231" s="46">
        <f>'3-Digit Lotto Table'!G423</f>
        <v>0</v>
      </c>
      <c r="L231" s="31">
        <v>518</v>
      </c>
      <c r="M231" s="46">
        <f>'3-Digit Lotto Table'!G523</f>
        <v>0</v>
      </c>
      <c r="N231" s="31">
        <v>618</v>
      </c>
      <c r="O231" s="46">
        <f>'3-Digit Lotto Table'!G623</f>
        <v>0</v>
      </c>
      <c r="P231" s="31">
        <v>718</v>
      </c>
      <c r="Q231" s="46">
        <f>'3-Digit Lotto Table'!G723</f>
        <v>0</v>
      </c>
      <c r="R231" s="31">
        <v>818</v>
      </c>
      <c r="S231" s="46">
        <f>'3-Digit Lotto Table'!G823</f>
        <v>0</v>
      </c>
      <c r="T231" s="36">
        <v>918</v>
      </c>
      <c r="U231" s="48">
        <f>'3-Digit Lotto Table'!G923</f>
        <v>0</v>
      </c>
    </row>
    <row r="232" spans="2:21" x14ac:dyDescent="0.3">
      <c r="B232" s="32">
        <v>19</v>
      </c>
      <c r="C232" s="44">
        <f>'3-Digit Lotto Table'!G24</f>
        <v>0</v>
      </c>
      <c r="D232" s="33">
        <v>119</v>
      </c>
      <c r="E232" s="44">
        <f>'3-Digit Lotto Table'!G124</f>
        <v>0</v>
      </c>
      <c r="F232" s="33">
        <v>219</v>
      </c>
      <c r="G232" s="44">
        <f>'3-Digit Lotto Table'!G224</f>
        <v>0</v>
      </c>
      <c r="H232" s="33">
        <v>319</v>
      </c>
      <c r="I232" s="44">
        <f>'3-Digit Lotto Table'!G324</f>
        <v>0</v>
      </c>
      <c r="J232" s="33">
        <v>419</v>
      </c>
      <c r="K232" s="46">
        <f>'3-Digit Lotto Table'!G424</f>
        <v>0</v>
      </c>
      <c r="L232" s="31">
        <v>519</v>
      </c>
      <c r="M232" s="46">
        <f>'3-Digit Lotto Table'!G524</f>
        <v>0</v>
      </c>
      <c r="N232" s="31">
        <v>619</v>
      </c>
      <c r="O232" s="46">
        <f>'3-Digit Lotto Table'!G624</f>
        <v>0</v>
      </c>
      <c r="P232" s="31">
        <v>719</v>
      </c>
      <c r="Q232" s="46">
        <f>'3-Digit Lotto Table'!G724</f>
        <v>0</v>
      </c>
      <c r="R232" s="31">
        <v>819</v>
      </c>
      <c r="S232" s="46">
        <f>'3-Digit Lotto Table'!G824</f>
        <v>0</v>
      </c>
      <c r="T232" s="36">
        <v>919</v>
      </c>
      <c r="U232" s="48">
        <f>'3-Digit Lotto Table'!G924</f>
        <v>0</v>
      </c>
    </row>
    <row r="233" spans="2:21" x14ac:dyDescent="0.3">
      <c r="B233" s="32">
        <v>20</v>
      </c>
      <c r="C233" s="44">
        <f>'3-Digit Lotto Table'!G25</f>
        <v>0</v>
      </c>
      <c r="D233" s="33">
        <v>120</v>
      </c>
      <c r="E233" s="44">
        <f>'3-Digit Lotto Table'!G125</f>
        <v>0</v>
      </c>
      <c r="F233" s="33">
        <v>220</v>
      </c>
      <c r="G233" s="44">
        <f>'3-Digit Lotto Table'!G225</f>
        <v>0</v>
      </c>
      <c r="H233" s="33">
        <v>320</v>
      </c>
      <c r="I233" s="44">
        <f>'3-Digit Lotto Table'!G325</f>
        <v>100</v>
      </c>
      <c r="J233" s="33">
        <v>420</v>
      </c>
      <c r="K233" s="46">
        <f>'3-Digit Lotto Table'!G425</f>
        <v>0</v>
      </c>
      <c r="L233" s="31">
        <v>520</v>
      </c>
      <c r="M233" s="46">
        <f>'3-Digit Lotto Table'!G525</f>
        <v>0</v>
      </c>
      <c r="N233" s="31">
        <v>620</v>
      </c>
      <c r="O233" s="46">
        <f>'3-Digit Lotto Table'!G625</f>
        <v>0</v>
      </c>
      <c r="P233" s="31">
        <v>720</v>
      </c>
      <c r="Q233" s="46">
        <f>'3-Digit Lotto Table'!G725</f>
        <v>0</v>
      </c>
      <c r="R233" s="31">
        <v>820</v>
      </c>
      <c r="S233" s="46">
        <f>'3-Digit Lotto Table'!G825</f>
        <v>0</v>
      </c>
      <c r="T233" s="36">
        <v>920</v>
      </c>
      <c r="U233" s="48">
        <f>'3-Digit Lotto Table'!G925</f>
        <v>0</v>
      </c>
    </row>
    <row r="234" spans="2:21" x14ac:dyDescent="0.3">
      <c r="B234" s="32">
        <v>21</v>
      </c>
      <c r="C234" s="44">
        <f>'3-Digit Lotto Table'!G26</f>
        <v>0</v>
      </c>
      <c r="D234" s="33">
        <v>121</v>
      </c>
      <c r="E234" s="44">
        <f>'3-Digit Lotto Table'!G126</f>
        <v>0</v>
      </c>
      <c r="F234" s="33">
        <v>221</v>
      </c>
      <c r="G234" s="44">
        <f>'3-Digit Lotto Table'!G226</f>
        <v>0</v>
      </c>
      <c r="H234" s="33">
        <v>321</v>
      </c>
      <c r="I234" s="44">
        <f>'3-Digit Lotto Table'!G326</f>
        <v>0</v>
      </c>
      <c r="J234" s="33">
        <v>421</v>
      </c>
      <c r="K234" s="46">
        <f>'3-Digit Lotto Table'!G426</f>
        <v>0</v>
      </c>
      <c r="L234" s="31">
        <v>521</v>
      </c>
      <c r="M234" s="46">
        <f>'3-Digit Lotto Table'!G526</f>
        <v>0</v>
      </c>
      <c r="N234" s="31">
        <v>621</v>
      </c>
      <c r="O234" s="46">
        <f>'3-Digit Lotto Table'!G626</f>
        <v>0</v>
      </c>
      <c r="P234" s="31">
        <v>721</v>
      </c>
      <c r="Q234" s="46">
        <f>'3-Digit Lotto Table'!G726</f>
        <v>0</v>
      </c>
      <c r="R234" s="31">
        <v>821</v>
      </c>
      <c r="S234" s="46">
        <f>'3-Digit Lotto Table'!G826</f>
        <v>0</v>
      </c>
      <c r="T234" s="36">
        <v>921</v>
      </c>
      <c r="U234" s="48">
        <f>'3-Digit Lotto Table'!G926</f>
        <v>0</v>
      </c>
    </row>
    <row r="235" spans="2:21" x14ac:dyDescent="0.3">
      <c r="B235" s="32">
        <v>22</v>
      </c>
      <c r="C235" s="44">
        <f>'3-Digit Lotto Table'!G27</f>
        <v>0</v>
      </c>
      <c r="D235" s="33">
        <v>122</v>
      </c>
      <c r="E235" s="44">
        <f>'3-Digit Lotto Table'!G127</f>
        <v>0</v>
      </c>
      <c r="F235" s="33">
        <v>222</v>
      </c>
      <c r="G235" s="44">
        <f>'3-Digit Lotto Table'!G227</f>
        <v>0</v>
      </c>
      <c r="H235" s="33">
        <v>322</v>
      </c>
      <c r="I235" s="44">
        <f>'3-Digit Lotto Table'!G327</f>
        <v>0</v>
      </c>
      <c r="J235" s="33">
        <v>422</v>
      </c>
      <c r="K235" s="46">
        <f>'3-Digit Lotto Table'!G427</f>
        <v>0</v>
      </c>
      <c r="L235" s="31">
        <v>522</v>
      </c>
      <c r="M235" s="46">
        <f>'3-Digit Lotto Table'!G527</f>
        <v>0</v>
      </c>
      <c r="N235" s="31">
        <v>622</v>
      </c>
      <c r="O235" s="46">
        <f>'3-Digit Lotto Table'!G627</f>
        <v>0</v>
      </c>
      <c r="P235" s="31">
        <v>722</v>
      </c>
      <c r="Q235" s="46">
        <f>'3-Digit Lotto Table'!G727</f>
        <v>0</v>
      </c>
      <c r="R235" s="31">
        <v>822</v>
      </c>
      <c r="S235" s="46">
        <f>'3-Digit Lotto Table'!G827</f>
        <v>0</v>
      </c>
      <c r="T235" s="36">
        <v>922</v>
      </c>
      <c r="U235" s="48">
        <f>'3-Digit Lotto Table'!G927</f>
        <v>0</v>
      </c>
    </row>
    <row r="236" spans="2:21" x14ac:dyDescent="0.3">
      <c r="B236" s="32">
        <v>23</v>
      </c>
      <c r="C236" s="44">
        <f>'3-Digit Lotto Table'!G28</f>
        <v>0</v>
      </c>
      <c r="D236" s="33">
        <v>123</v>
      </c>
      <c r="E236" s="44">
        <f>'3-Digit Lotto Table'!G128</f>
        <v>0</v>
      </c>
      <c r="F236" s="33">
        <v>223</v>
      </c>
      <c r="G236" s="44">
        <f>'3-Digit Lotto Table'!G228</f>
        <v>0</v>
      </c>
      <c r="H236" s="33">
        <v>323</v>
      </c>
      <c r="I236" s="44">
        <f>'3-Digit Lotto Table'!G328</f>
        <v>0</v>
      </c>
      <c r="J236" s="33">
        <v>423</v>
      </c>
      <c r="K236" s="46">
        <f>'3-Digit Lotto Table'!G428</f>
        <v>0</v>
      </c>
      <c r="L236" s="31">
        <v>523</v>
      </c>
      <c r="M236" s="46">
        <f>'3-Digit Lotto Table'!G528</f>
        <v>0</v>
      </c>
      <c r="N236" s="31">
        <v>623</v>
      </c>
      <c r="O236" s="46">
        <f>'3-Digit Lotto Table'!G628</f>
        <v>0</v>
      </c>
      <c r="P236" s="31">
        <v>723</v>
      </c>
      <c r="Q236" s="46">
        <f>'3-Digit Lotto Table'!G728</f>
        <v>0</v>
      </c>
      <c r="R236" s="31">
        <v>823</v>
      </c>
      <c r="S236" s="46">
        <f>'3-Digit Lotto Table'!G828</f>
        <v>0</v>
      </c>
      <c r="T236" s="36">
        <v>923</v>
      </c>
      <c r="U236" s="48">
        <f>'3-Digit Lotto Table'!G928</f>
        <v>0</v>
      </c>
    </row>
    <row r="237" spans="2:21" x14ac:dyDescent="0.3">
      <c r="B237" s="32">
        <v>24</v>
      </c>
      <c r="C237" s="44">
        <f>'3-Digit Lotto Table'!G29</f>
        <v>0</v>
      </c>
      <c r="D237" s="33">
        <v>124</v>
      </c>
      <c r="E237" s="44">
        <f>'3-Digit Lotto Table'!G129</f>
        <v>0</v>
      </c>
      <c r="F237" s="33">
        <v>224</v>
      </c>
      <c r="G237" s="44">
        <f>'3-Digit Lotto Table'!G229</f>
        <v>0</v>
      </c>
      <c r="H237" s="33">
        <v>324</v>
      </c>
      <c r="I237" s="44">
        <f>'3-Digit Lotto Table'!G329</f>
        <v>0</v>
      </c>
      <c r="J237" s="33">
        <v>424</v>
      </c>
      <c r="K237" s="46">
        <f>'3-Digit Lotto Table'!G429</f>
        <v>0</v>
      </c>
      <c r="L237" s="31">
        <v>524</v>
      </c>
      <c r="M237" s="46">
        <f>'3-Digit Lotto Table'!G529</f>
        <v>0</v>
      </c>
      <c r="N237" s="31">
        <v>624</v>
      </c>
      <c r="O237" s="46">
        <f>'3-Digit Lotto Table'!G629</f>
        <v>0</v>
      </c>
      <c r="P237" s="31">
        <v>724</v>
      </c>
      <c r="Q237" s="46">
        <f>'3-Digit Lotto Table'!G729</f>
        <v>0</v>
      </c>
      <c r="R237" s="31">
        <v>824</v>
      </c>
      <c r="S237" s="46">
        <f>'3-Digit Lotto Table'!G829</f>
        <v>0</v>
      </c>
      <c r="T237" s="36">
        <v>924</v>
      </c>
      <c r="U237" s="48">
        <f>'3-Digit Lotto Table'!G929</f>
        <v>0</v>
      </c>
    </row>
    <row r="238" spans="2:21" x14ac:dyDescent="0.3">
      <c r="B238" s="32">
        <v>25</v>
      </c>
      <c r="C238" s="44">
        <f>'3-Digit Lotto Table'!G30</f>
        <v>0</v>
      </c>
      <c r="D238" s="33">
        <v>125</v>
      </c>
      <c r="E238" s="44">
        <f>'3-Digit Lotto Table'!G130</f>
        <v>0</v>
      </c>
      <c r="F238" s="33">
        <v>225</v>
      </c>
      <c r="G238" s="44">
        <f>'3-Digit Lotto Table'!G230</f>
        <v>0</v>
      </c>
      <c r="H238" s="33">
        <v>325</v>
      </c>
      <c r="I238" s="44">
        <f>'3-Digit Lotto Table'!G330</f>
        <v>0</v>
      </c>
      <c r="J238" s="33">
        <v>425</v>
      </c>
      <c r="K238" s="46">
        <f>'3-Digit Lotto Table'!G430</f>
        <v>0</v>
      </c>
      <c r="L238" s="31">
        <v>525</v>
      </c>
      <c r="M238" s="46">
        <f>'3-Digit Lotto Table'!G530</f>
        <v>0</v>
      </c>
      <c r="N238" s="31">
        <v>625</v>
      </c>
      <c r="O238" s="46">
        <f>'3-Digit Lotto Table'!G630</f>
        <v>0</v>
      </c>
      <c r="P238" s="31">
        <v>725</v>
      </c>
      <c r="Q238" s="46">
        <f>'3-Digit Lotto Table'!G730</f>
        <v>0</v>
      </c>
      <c r="R238" s="31">
        <v>825</v>
      </c>
      <c r="S238" s="46">
        <f>'3-Digit Lotto Table'!G830</f>
        <v>0</v>
      </c>
      <c r="T238" s="36">
        <v>925</v>
      </c>
      <c r="U238" s="48">
        <f>'3-Digit Lotto Table'!G930</f>
        <v>0</v>
      </c>
    </row>
    <row r="239" spans="2:21" x14ac:dyDescent="0.3">
      <c r="B239" s="32">
        <v>26</v>
      </c>
      <c r="C239" s="44">
        <f>'3-Digit Lotto Table'!G31</f>
        <v>0</v>
      </c>
      <c r="D239" s="33">
        <v>126</v>
      </c>
      <c r="E239" s="44">
        <f>'3-Digit Lotto Table'!G131</f>
        <v>0</v>
      </c>
      <c r="F239" s="33">
        <v>226</v>
      </c>
      <c r="G239" s="44">
        <f>'3-Digit Lotto Table'!G231</f>
        <v>0</v>
      </c>
      <c r="H239" s="33">
        <v>326</v>
      </c>
      <c r="I239" s="44">
        <f>'3-Digit Lotto Table'!G331</f>
        <v>0</v>
      </c>
      <c r="J239" s="33">
        <v>426</v>
      </c>
      <c r="K239" s="46">
        <f>'3-Digit Lotto Table'!G431</f>
        <v>0</v>
      </c>
      <c r="L239" s="31">
        <v>526</v>
      </c>
      <c r="M239" s="46">
        <f>'3-Digit Lotto Table'!G531</f>
        <v>0</v>
      </c>
      <c r="N239" s="31">
        <v>626</v>
      </c>
      <c r="O239" s="46">
        <f>'3-Digit Lotto Table'!G631</f>
        <v>0</v>
      </c>
      <c r="P239" s="31">
        <v>726</v>
      </c>
      <c r="Q239" s="46">
        <f>'3-Digit Lotto Table'!G731</f>
        <v>0</v>
      </c>
      <c r="R239" s="31">
        <v>826</v>
      </c>
      <c r="S239" s="46">
        <f>'3-Digit Lotto Table'!G831</f>
        <v>0</v>
      </c>
      <c r="T239" s="36">
        <v>926</v>
      </c>
      <c r="U239" s="48">
        <f>'3-Digit Lotto Table'!G931</f>
        <v>0</v>
      </c>
    </row>
    <row r="240" spans="2:21" x14ac:dyDescent="0.3">
      <c r="B240" s="32">
        <v>27</v>
      </c>
      <c r="C240" s="44">
        <f>'3-Digit Lotto Table'!G32</f>
        <v>0</v>
      </c>
      <c r="D240" s="33">
        <v>127</v>
      </c>
      <c r="E240" s="44">
        <f>'3-Digit Lotto Table'!G132</f>
        <v>0</v>
      </c>
      <c r="F240" s="33">
        <v>227</v>
      </c>
      <c r="G240" s="44">
        <f>'3-Digit Lotto Table'!G232</f>
        <v>0</v>
      </c>
      <c r="H240" s="33">
        <v>327</v>
      </c>
      <c r="I240" s="44">
        <f>'3-Digit Lotto Table'!G332</f>
        <v>0</v>
      </c>
      <c r="J240" s="33">
        <v>427</v>
      </c>
      <c r="K240" s="46">
        <f>'3-Digit Lotto Table'!G432</f>
        <v>0</v>
      </c>
      <c r="L240" s="31">
        <v>527</v>
      </c>
      <c r="M240" s="46">
        <f>'3-Digit Lotto Table'!G532</f>
        <v>0</v>
      </c>
      <c r="N240" s="31">
        <v>627</v>
      </c>
      <c r="O240" s="46">
        <f>'3-Digit Lotto Table'!G632</f>
        <v>0</v>
      </c>
      <c r="P240" s="31">
        <v>727</v>
      </c>
      <c r="Q240" s="46">
        <f>'3-Digit Lotto Table'!G732</f>
        <v>0</v>
      </c>
      <c r="R240" s="31">
        <v>827</v>
      </c>
      <c r="S240" s="46">
        <f>'3-Digit Lotto Table'!G832</f>
        <v>0</v>
      </c>
      <c r="T240" s="36">
        <v>927</v>
      </c>
      <c r="U240" s="48">
        <f>'3-Digit Lotto Table'!G932</f>
        <v>0</v>
      </c>
    </row>
    <row r="241" spans="2:21" x14ac:dyDescent="0.3">
      <c r="B241" s="32">
        <v>28</v>
      </c>
      <c r="C241" s="44">
        <f>'3-Digit Lotto Table'!G33</f>
        <v>0</v>
      </c>
      <c r="D241" s="33">
        <v>128</v>
      </c>
      <c r="E241" s="44">
        <f>'3-Digit Lotto Table'!G133</f>
        <v>0</v>
      </c>
      <c r="F241" s="33">
        <v>228</v>
      </c>
      <c r="G241" s="44">
        <f>'3-Digit Lotto Table'!G233</f>
        <v>0</v>
      </c>
      <c r="H241" s="33">
        <v>328</v>
      </c>
      <c r="I241" s="44">
        <f>'3-Digit Lotto Table'!G333</f>
        <v>0</v>
      </c>
      <c r="J241" s="33">
        <v>428</v>
      </c>
      <c r="K241" s="46">
        <f>'3-Digit Lotto Table'!G433</f>
        <v>0</v>
      </c>
      <c r="L241" s="31">
        <v>528</v>
      </c>
      <c r="M241" s="46">
        <f>'3-Digit Lotto Table'!G533</f>
        <v>0</v>
      </c>
      <c r="N241" s="31">
        <v>628</v>
      </c>
      <c r="O241" s="46">
        <f>'3-Digit Lotto Table'!G633</f>
        <v>0</v>
      </c>
      <c r="P241" s="31">
        <v>728</v>
      </c>
      <c r="Q241" s="46">
        <f>'3-Digit Lotto Table'!G733</f>
        <v>0</v>
      </c>
      <c r="R241" s="31">
        <v>828</v>
      </c>
      <c r="S241" s="46">
        <f>'3-Digit Lotto Table'!G833</f>
        <v>0</v>
      </c>
      <c r="T241" s="36">
        <v>928</v>
      </c>
      <c r="U241" s="48">
        <f>'3-Digit Lotto Table'!G933</f>
        <v>0</v>
      </c>
    </row>
    <row r="242" spans="2:21" x14ac:dyDescent="0.3">
      <c r="B242" s="32">
        <v>29</v>
      </c>
      <c r="C242" s="44">
        <f>'3-Digit Lotto Table'!G34</f>
        <v>0</v>
      </c>
      <c r="D242" s="33">
        <v>129</v>
      </c>
      <c r="E242" s="44">
        <f>'3-Digit Lotto Table'!G134</f>
        <v>0</v>
      </c>
      <c r="F242" s="33">
        <v>229</v>
      </c>
      <c r="G242" s="44">
        <f>'3-Digit Lotto Table'!G234</f>
        <v>0</v>
      </c>
      <c r="H242" s="33">
        <v>329</v>
      </c>
      <c r="I242" s="44">
        <f>'3-Digit Lotto Table'!G334</f>
        <v>0</v>
      </c>
      <c r="J242" s="33">
        <v>429</v>
      </c>
      <c r="K242" s="46">
        <f>'3-Digit Lotto Table'!G434</f>
        <v>0</v>
      </c>
      <c r="L242" s="31">
        <v>529</v>
      </c>
      <c r="M242" s="46">
        <f>'3-Digit Lotto Table'!G534</f>
        <v>0</v>
      </c>
      <c r="N242" s="31">
        <v>629</v>
      </c>
      <c r="O242" s="46">
        <f>'3-Digit Lotto Table'!G634</f>
        <v>0</v>
      </c>
      <c r="P242" s="31">
        <v>729</v>
      </c>
      <c r="Q242" s="46">
        <f>'3-Digit Lotto Table'!G734</f>
        <v>0</v>
      </c>
      <c r="R242" s="31">
        <v>829</v>
      </c>
      <c r="S242" s="46">
        <f>'3-Digit Lotto Table'!G834</f>
        <v>0</v>
      </c>
      <c r="T242" s="36">
        <v>929</v>
      </c>
      <c r="U242" s="48">
        <f>'3-Digit Lotto Table'!G934</f>
        <v>0</v>
      </c>
    </row>
    <row r="243" spans="2:21" x14ac:dyDescent="0.3">
      <c r="B243" s="32">
        <v>30</v>
      </c>
      <c r="C243" s="44">
        <f>'3-Digit Lotto Table'!G35</f>
        <v>0</v>
      </c>
      <c r="D243" s="33">
        <v>130</v>
      </c>
      <c r="E243" s="44">
        <f>'3-Digit Lotto Table'!G135</f>
        <v>0</v>
      </c>
      <c r="F243" s="33">
        <v>230</v>
      </c>
      <c r="G243" s="44">
        <f>'3-Digit Lotto Table'!G235</f>
        <v>0</v>
      </c>
      <c r="H243" s="33">
        <v>330</v>
      </c>
      <c r="I243" s="44">
        <f>'3-Digit Lotto Table'!G335</f>
        <v>0</v>
      </c>
      <c r="J243" s="33">
        <v>430</v>
      </c>
      <c r="K243" s="46">
        <f>'3-Digit Lotto Table'!G435</f>
        <v>0</v>
      </c>
      <c r="L243" s="31">
        <v>530</v>
      </c>
      <c r="M243" s="46">
        <f>'3-Digit Lotto Table'!G535</f>
        <v>0</v>
      </c>
      <c r="N243" s="31">
        <v>630</v>
      </c>
      <c r="O243" s="46">
        <f>'3-Digit Lotto Table'!G635</f>
        <v>0</v>
      </c>
      <c r="P243" s="31">
        <v>730</v>
      </c>
      <c r="Q243" s="46">
        <f>'3-Digit Lotto Table'!G735</f>
        <v>0</v>
      </c>
      <c r="R243" s="31">
        <v>830</v>
      </c>
      <c r="S243" s="46">
        <f>'3-Digit Lotto Table'!G835</f>
        <v>0</v>
      </c>
      <c r="T243" s="36">
        <v>930</v>
      </c>
      <c r="U243" s="48">
        <f>'3-Digit Lotto Table'!G935</f>
        <v>0</v>
      </c>
    </row>
    <row r="244" spans="2:21" x14ac:dyDescent="0.3">
      <c r="B244" s="32">
        <v>31</v>
      </c>
      <c r="C244" s="44">
        <f>'3-Digit Lotto Table'!G36</f>
        <v>0</v>
      </c>
      <c r="D244" s="33">
        <v>131</v>
      </c>
      <c r="E244" s="44">
        <f>'3-Digit Lotto Table'!G136</f>
        <v>0</v>
      </c>
      <c r="F244" s="33">
        <v>231</v>
      </c>
      <c r="G244" s="44">
        <f>'3-Digit Lotto Table'!G236</f>
        <v>0</v>
      </c>
      <c r="H244" s="33">
        <v>331</v>
      </c>
      <c r="I244" s="44">
        <f>'3-Digit Lotto Table'!G336</f>
        <v>0</v>
      </c>
      <c r="J244" s="33">
        <v>431</v>
      </c>
      <c r="K244" s="46">
        <f>'3-Digit Lotto Table'!G436</f>
        <v>0</v>
      </c>
      <c r="L244" s="31">
        <v>531</v>
      </c>
      <c r="M244" s="46">
        <f>'3-Digit Lotto Table'!G536</f>
        <v>0</v>
      </c>
      <c r="N244" s="31">
        <v>631</v>
      </c>
      <c r="O244" s="46">
        <f>'3-Digit Lotto Table'!G636</f>
        <v>0</v>
      </c>
      <c r="P244" s="31">
        <v>731</v>
      </c>
      <c r="Q244" s="46">
        <f>'3-Digit Lotto Table'!G736</f>
        <v>0</v>
      </c>
      <c r="R244" s="31">
        <v>831</v>
      </c>
      <c r="S244" s="46">
        <f>'3-Digit Lotto Table'!G836</f>
        <v>0</v>
      </c>
      <c r="T244" s="36">
        <v>931</v>
      </c>
      <c r="U244" s="48">
        <f>'3-Digit Lotto Table'!G936</f>
        <v>0</v>
      </c>
    </row>
    <row r="245" spans="2:21" x14ac:dyDescent="0.3">
      <c r="B245" s="32">
        <v>32</v>
      </c>
      <c r="C245" s="44">
        <f>'3-Digit Lotto Table'!G37</f>
        <v>0</v>
      </c>
      <c r="D245" s="33">
        <v>132</v>
      </c>
      <c r="E245" s="44">
        <f>'3-Digit Lotto Table'!G137</f>
        <v>0</v>
      </c>
      <c r="F245" s="33">
        <v>232</v>
      </c>
      <c r="G245" s="44">
        <f>'3-Digit Lotto Table'!G237</f>
        <v>0</v>
      </c>
      <c r="H245" s="33">
        <v>332</v>
      </c>
      <c r="I245" s="44">
        <f>'3-Digit Lotto Table'!G337</f>
        <v>0</v>
      </c>
      <c r="J245" s="33">
        <v>432</v>
      </c>
      <c r="K245" s="46">
        <f>'3-Digit Lotto Table'!G437</f>
        <v>0</v>
      </c>
      <c r="L245" s="31">
        <v>532</v>
      </c>
      <c r="M245" s="46">
        <f>'3-Digit Lotto Table'!G537</f>
        <v>0</v>
      </c>
      <c r="N245" s="31">
        <v>632</v>
      </c>
      <c r="O245" s="46">
        <f>'3-Digit Lotto Table'!G637</f>
        <v>0</v>
      </c>
      <c r="P245" s="31">
        <v>732</v>
      </c>
      <c r="Q245" s="46">
        <f>'3-Digit Lotto Table'!G737</f>
        <v>0</v>
      </c>
      <c r="R245" s="31">
        <v>832</v>
      </c>
      <c r="S245" s="46">
        <f>'3-Digit Lotto Table'!G837</f>
        <v>0</v>
      </c>
      <c r="T245" s="36">
        <v>932</v>
      </c>
      <c r="U245" s="48">
        <f>'3-Digit Lotto Table'!G937</f>
        <v>0</v>
      </c>
    </row>
    <row r="246" spans="2:21" x14ac:dyDescent="0.3">
      <c r="B246" s="32">
        <v>33</v>
      </c>
      <c r="C246" s="44">
        <f>'3-Digit Lotto Table'!G38</f>
        <v>0</v>
      </c>
      <c r="D246" s="33">
        <v>133</v>
      </c>
      <c r="E246" s="44">
        <f>'3-Digit Lotto Table'!G138</f>
        <v>0</v>
      </c>
      <c r="F246" s="33">
        <v>233</v>
      </c>
      <c r="G246" s="44">
        <f>'3-Digit Lotto Table'!G238</f>
        <v>0</v>
      </c>
      <c r="H246" s="33">
        <v>333</v>
      </c>
      <c r="I246" s="44">
        <f>'3-Digit Lotto Table'!G338</f>
        <v>0</v>
      </c>
      <c r="J246" s="33">
        <v>433</v>
      </c>
      <c r="K246" s="46">
        <f>'3-Digit Lotto Table'!G438</f>
        <v>0</v>
      </c>
      <c r="L246" s="31">
        <v>533</v>
      </c>
      <c r="M246" s="46">
        <f>'3-Digit Lotto Table'!G538</f>
        <v>0</v>
      </c>
      <c r="N246" s="31">
        <v>633</v>
      </c>
      <c r="O246" s="46">
        <f>'3-Digit Lotto Table'!G638</f>
        <v>0</v>
      </c>
      <c r="P246" s="31">
        <v>733</v>
      </c>
      <c r="Q246" s="46">
        <f>'3-Digit Lotto Table'!G738</f>
        <v>0</v>
      </c>
      <c r="R246" s="31">
        <v>833</v>
      </c>
      <c r="S246" s="46">
        <f>'3-Digit Lotto Table'!G838</f>
        <v>0</v>
      </c>
      <c r="T246" s="36">
        <v>933</v>
      </c>
      <c r="U246" s="48">
        <f>'3-Digit Lotto Table'!G938</f>
        <v>0</v>
      </c>
    </row>
    <row r="247" spans="2:21" x14ac:dyDescent="0.3">
      <c r="B247" s="32">
        <v>34</v>
      </c>
      <c r="C247" s="44">
        <f>'3-Digit Lotto Table'!G39</f>
        <v>0</v>
      </c>
      <c r="D247" s="33">
        <v>134</v>
      </c>
      <c r="E247" s="44">
        <f>'3-Digit Lotto Table'!G139</f>
        <v>0</v>
      </c>
      <c r="F247" s="33">
        <v>234</v>
      </c>
      <c r="G247" s="44">
        <f>'3-Digit Lotto Table'!G239</f>
        <v>0</v>
      </c>
      <c r="H247" s="33">
        <v>334</v>
      </c>
      <c r="I247" s="44">
        <f>'3-Digit Lotto Table'!G339</f>
        <v>0</v>
      </c>
      <c r="J247" s="33">
        <v>434</v>
      </c>
      <c r="K247" s="46">
        <f>'3-Digit Lotto Table'!G439</f>
        <v>0</v>
      </c>
      <c r="L247" s="31">
        <v>534</v>
      </c>
      <c r="M247" s="46">
        <f>'3-Digit Lotto Table'!G539</f>
        <v>0</v>
      </c>
      <c r="N247" s="31">
        <v>634</v>
      </c>
      <c r="O247" s="46">
        <f>'3-Digit Lotto Table'!G639</f>
        <v>0</v>
      </c>
      <c r="P247" s="31">
        <v>734</v>
      </c>
      <c r="Q247" s="46">
        <f>'3-Digit Lotto Table'!G739</f>
        <v>0</v>
      </c>
      <c r="R247" s="31">
        <v>834</v>
      </c>
      <c r="S247" s="46">
        <f>'3-Digit Lotto Table'!G839</f>
        <v>0</v>
      </c>
      <c r="T247" s="36">
        <v>934</v>
      </c>
      <c r="U247" s="48">
        <f>'3-Digit Lotto Table'!G939</f>
        <v>0</v>
      </c>
    </row>
    <row r="248" spans="2:21" x14ac:dyDescent="0.3">
      <c r="B248" s="32">
        <v>35</v>
      </c>
      <c r="C248" s="44">
        <f>'3-Digit Lotto Table'!G40</f>
        <v>0</v>
      </c>
      <c r="D248" s="33">
        <v>135</v>
      </c>
      <c r="E248" s="44">
        <f>'3-Digit Lotto Table'!G140</f>
        <v>0</v>
      </c>
      <c r="F248" s="33">
        <v>235</v>
      </c>
      <c r="G248" s="44">
        <f>'3-Digit Lotto Table'!G240</f>
        <v>0</v>
      </c>
      <c r="H248" s="33">
        <v>335</v>
      </c>
      <c r="I248" s="44">
        <f>'3-Digit Lotto Table'!G340</f>
        <v>0</v>
      </c>
      <c r="J248" s="33">
        <v>435</v>
      </c>
      <c r="K248" s="46">
        <f>'3-Digit Lotto Table'!G440</f>
        <v>0</v>
      </c>
      <c r="L248" s="31">
        <v>535</v>
      </c>
      <c r="M248" s="46">
        <f>'3-Digit Lotto Table'!G540</f>
        <v>0</v>
      </c>
      <c r="N248" s="31">
        <v>635</v>
      </c>
      <c r="O248" s="46">
        <f>'3-Digit Lotto Table'!G640</f>
        <v>0</v>
      </c>
      <c r="P248" s="31">
        <v>735</v>
      </c>
      <c r="Q248" s="46">
        <f>'3-Digit Lotto Table'!G740</f>
        <v>100</v>
      </c>
      <c r="R248" s="31">
        <v>835</v>
      </c>
      <c r="S248" s="46">
        <f>'3-Digit Lotto Table'!G840</f>
        <v>0</v>
      </c>
      <c r="T248" s="36">
        <v>935</v>
      </c>
      <c r="U248" s="48">
        <f>'3-Digit Lotto Table'!G940</f>
        <v>0</v>
      </c>
    </row>
    <row r="249" spans="2:21" x14ac:dyDescent="0.3">
      <c r="B249" s="32">
        <v>36</v>
      </c>
      <c r="C249" s="44">
        <f>'3-Digit Lotto Table'!G41</f>
        <v>0</v>
      </c>
      <c r="D249" s="33">
        <v>136</v>
      </c>
      <c r="E249" s="44">
        <f>'3-Digit Lotto Table'!G141</f>
        <v>0</v>
      </c>
      <c r="F249" s="33">
        <v>236</v>
      </c>
      <c r="G249" s="44">
        <f>'3-Digit Lotto Table'!G241</f>
        <v>0</v>
      </c>
      <c r="H249" s="33">
        <v>336</v>
      </c>
      <c r="I249" s="44">
        <f>'3-Digit Lotto Table'!G341</f>
        <v>0</v>
      </c>
      <c r="J249" s="33">
        <v>436</v>
      </c>
      <c r="K249" s="46">
        <f>'3-Digit Lotto Table'!G441</f>
        <v>0</v>
      </c>
      <c r="L249" s="31">
        <v>536</v>
      </c>
      <c r="M249" s="46">
        <f>'3-Digit Lotto Table'!G541</f>
        <v>0</v>
      </c>
      <c r="N249" s="31">
        <v>636</v>
      </c>
      <c r="O249" s="46">
        <f>'3-Digit Lotto Table'!G641</f>
        <v>0</v>
      </c>
      <c r="P249" s="31">
        <v>736</v>
      </c>
      <c r="Q249" s="46">
        <f>'3-Digit Lotto Table'!G741</f>
        <v>0</v>
      </c>
      <c r="R249" s="31">
        <v>836</v>
      </c>
      <c r="S249" s="46">
        <f>'3-Digit Lotto Table'!G841</f>
        <v>0</v>
      </c>
      <c r="T249" s="36">
        <v>936</v>
      </c>
      <c r="U249" s="48">
        <f>'3-Digit Lotto Table'!G941</f>
        <v>0</v>
      </c>
    </row>
    <row r="250" spans="2:21" x14ac:dyDescent="0.3">
      <c r="B250" s="32">
        <v>37</v>
      </c>
      <c r="C250" s="44">
        <f>'3-Digit Lotto Table'!G42</f>
        <v>0</v>
      </c>
      <c r="D250" s="33">
        <v>137</v>
      </c>
      <c r="E250" s="44">
        <f>'3-Digit Lotto Table'!G142</f>
        <v>0</v>
      </c>
      <c r="F250" s="33">
        <v>237</v>
      </c>
      <c r="G250" s="44">
        <f>'3-Digit Lotto Table'!G242</f>
        <v>0</v>
      </c>
      <c r="H250" s="33">
        <v>337</v>
      </c>
      <c r="I250" s="44">
        <f>'3-Digit Lotto Table'!G342</f>
        <v>0</v>
      </c>
      <c r="J250" s="33">
        <v>437</v>
      </c>
      <c r="K250" s="46">
        <f>'3-Digit Lotto Table'!G442</f>
        <v>0</v>
      </c>
      <c r="L250" s="31">
        <v>537</v>
      </c>
      <c r="M250" s="46">
        <f>'3-Digit Lotto Table'!G542</f>
        <v>0</v>
      </c>
      <c r="N250" s="31">
        <v>637</v>
      </c>
      <c r="O250" s="46">
        <f>'3-Digit Lotto Table'!G642</f>
        <v>100</v>
      </c>
      <c r="P250" s="31">
        <v>737</v>
      </c>
      <c r="Q250" s="46">
        <f>'3-Digit Lotto Table'!G742</f>
        <v>0</v>
      </c>
      <c r="R250" s="31">
        <v>837</v>
      </c>
      <c r="S250" s="46">
        <f>'3-Digit Lotto Table'!G842</f>
        <v>0</v>
      </c>
      <c r="T250" s="36">
        <v>937</v>
      </c>
      <c r="U250" s="48">
        <f>'3-Digit Lotto Table'!G942</f>
        <v>100</v>
      </c>
    </row>
    <row r="251" spans="2:21" x14ac:dyDescent="0.3">
      <c r="B251" s="32">
        <v>38</v>
      </c>
      <c r="C251" s="44">
        <f>'3-Digit Lotto Table'!G43</f>
        <v>0</v>
      </c>
      <c r="D251" s="33">
        <v>138</v>
      </c>
      <c r="E251" s="44">
        <f>'3-Digit Lotto Table'!G143</f>
        <v>0</v>
      </c>
      <c r="F251" s="33">
        <v>238</v>
      </c>
      <c r="G251" s="44">
        <f>'3-Digit Lotto Table'!G243</f>
        <v>0</v>
      </c>
      <c r="H251" s="33">
        <v>338</v>
      </c>
      <c r="I251" s="44">
        <f>'3-Digit Lotto Table'!G343</f>
        <v>0</v>
      </c>
      <c r="J251" s="33">
        <v>438</v>
      </c>
      <c r="K251" s="46">
        <f>'3-Digit Lotto Table'!G443</f>
        <v>0</v>
      </c>
      <c r="L251" s="31">
        <v>538</v>
      </c>
      <c r="M251" s="46">
        <f>'3-Digit Lotto Table'!G543</f>
        <v>0</v>
      </c>
      <c r="N251" s="31">
        <v>638</v>
      </c>
      <c r="O251" s="46">
        <f>'3-Digit Lotto Table'!G643</f>
        <v>0</v>
      </c>
      <c r="P251" s="31">
        <v>738</v>
      </c>
      <c r="Q251" s="46">
        <f>'3-Digit Lotto Table'!G743</f>
        <v>0</v>
      </c>
      <c r="R251" s="31">
        <v>838</v>
      </c>
      <c r="S251" s="46">
        <f>'3-Digit Lotto Table'!G843</f>
        <v>0</v>
      </c>
      <c r="T251" s="36">
        <v>938</v>
      </c>
      <c r="U251" s="48">
        <f>'3-Digit Lotto Table'!G943</f>
        <v>0</v>
      </c>
    </row>
    <row r="252" spans="2:21" x14ac:dyDescent="0.3">
      <c r="B252" s="32">
        <v>39</v>
      </c>
      <c r="C252" s="44">
        <f>'3-Digit Lotto Table'!G44</f>
        <v>0</v>
      </c>
      <c r="D252" s="33">
        <v>139</v>
      </c>
      <c r="E252" s="44">
        <f>'3-Digit Lotto Table'!G144</f>
        <v>0</v>
      </c>
      <c r="F252" s="33">
        <v>239</v>
      </c>
      <c r="G252" s="44">
        <f>'3-Digit Lotto Table'!G244</f>
        <v>0</v>
      </c>
      <c r="H252" s="33">
        <v>339</v>
      </c>
      <c r="I252" s="44">
        <f>'3-Digit Lotto Table'!G344</f>
        <v>0</v>
      </c>
      <c r="J252" s="33">
        <v>439</v>
      </c>
      <c r="K252" s="46">
        <f>'3-Digit Lotto Table'!G444</f>
        <v>0</v>
      </c>
      <c r="L252" s="31">
        <v>539</v>
      </c>
      <c r="M252" s="46">
        <f>'3-Digit Lotto Table'!G544</f>
        <v>0</v>
      </c>
      <c r="N252" s="31">
        <v>639</v>
      </c>
      <c r="O252" s="46">
        <f>'3-Digit Lotto Table'!G644</f>
        <v>0</v>
      </c>
      <c r="P252" s="31">
        <v>739</v>
      </c>
      <c r="Q252" s="46">
        <f>'3-Digit Lotto Table'!G744</f>
        <v>100</v>
      </c>
      <c r="R252" s="31">
        <v>839</v>
      </c>
      <c r="S252" s="46">
        <f>'3-Digit Lotto Table'!G844</f>
        <v>0</v>
      </c>
      <c r="T252" s="36">
        <v>939</v>
      </c>
      <c r="U252" s="48">
        <f>'3-Digit Lotto Table'!G944</f>
        <v>0</v>
      </c>
    </row>
    <row r="253" spans="2:21" x14ac:dyDescent="0.3">
      <c r="B253" s="32">
        <v>40</v>
      </c>
      <c r="C253" s="44">
        <f>'3-Digit Lotto Table'!G45</f>
        <v>0</v>
      </c>
      <c r="D253" s="33">
        <v>140</v>
      </c>
      <c r="E253" s="44">
        <f>'3-Digit Lotto Table'!G145</f>
        <v>0</v>
      </c>
      <c r="F253" s="33">
        <v>240</v>
      </c>
      <c r="G253" s="44">
        <f>'3-Digit Lotto Table'!G245</f>
        <v>0</v>
      </c>
      <c r="H253" s="33">
        <v>340</v>
      </c>
      <c r="I253" s="44">
        <f>'3-Digit Lotto Table'!G345</f>
        <v>0</v>
      </c>
      <c r="J253" s="33">
        <v>440</v>
      </c>
      <c r="K253" s="46">
        <f>'3-Digit Lotto Table'!G445</f>
        <v>0</v>
      </c>
      <c r="L253" s="31">
        <v>540</v>
      </c>
      <c r="M253" s="46">
        <f>'3-Digit Lotto Table'!G545</f>
        <v>0</v>
      </c>
      <c r="N253" s="31">
        <v>640</v>
      </c>
      <c r="O253" s="46">
        <f>'3-Digit Lotto Table'!G645</f>
        <v>0</v>
      </c>
      <c r="P253" s="31">
        <v>740</v>
      </c>
      <c r="Q253" s="46">
        <f>'3-Digit Lotto Table'!G745</f>
        <v>0</v>
      </c>
      <c r="R253" s="31">
        <v>840</v>
      </c>
      <c r="S253" s="46">
        <f>'3-Digit Lotto Table'!G845</f>
        <v>0</v>
      </c>
      <c r="T253" s="36">
        <v>940</v>
      </c>
      <c r="U253" s="48">
        <f>'3-Digit Lotto Table'!G945</f>
        <v>0</v>
      </c>
    </row>
    <row r="254" spans="2:21" x14ac:dyDescent="0.3">
      <c r="B254" s="32">
        <v>41</v>
      </c>
      <c r="C254" s="44">
        <f>'3-Digit Lotto Table'!G46</f>
        <v>0</v>
      </c>
      <c r="D254" s="33">
        <v>141</v>
      </c>
      <c r="E254" s="44">
        <f>'3-Digit Lotto Table'!G146</f>
        <v>0</v>
      </c>
      <c r="F254" s="33">
        <v>241</v>
      </c>
      <c r="G254" s="44">
        <f>'3-Digit Lotto Table'!G246</f>
        <v>0</v>
      </c>
      <c r="H254" s="33">
        <v>341</v>
      </c>
      <c r="I254" s="44">
        <f>'3-Digit Lotto Table'!G346</f>
        <v>0</v>
      </c>
      <c r="J254" s="33">
        <v>441</v>
      </c>
      <c r="K254" s="46">
        <f>'3-Digit Lotto Table'!G446</f>
        <v>0</v>
      </c>
      <c r="L254" s="31">
        <v>541</v>
      </c>
      <c r="M254" s="46">
        <f>'3-Digit Lotto Table'!G546</f>
        <v>0</v>
      </c>
      <c r="N254" s="31">
        <v>641</v>
      </c>
      <c r="O254" s="46">
        <f>'3-Digit Lotto Table'!G646</f>
        <v>0</v>
      </c>
      <c r="P254" s="31">
        <v>741</v>
      </c>
      <c r="Q254" s="46">
        <f>'3-Digit Lotto Table'!G746</f>
        <v>0</v>
      </c>
      <c r="R254" s="31">
        <v>841</v>
      </c>
      <c r="S254" s="46">
        <f>'3-Digit Lotto Table'!G846</f>
        <v>0</v>
      </c>
      <c r="T254" s="36">
        <v>941</v>
      </c>
      <c r="U254" s="48">
        <f>'3-Digit Lotto Table'!G946</f>
        <v>0</v>
      </c>
    </row>
    <row r="255" spans="2:21" x14ac:dyDescent="0.3">
      <c r="B255" s="32">
        <v>42</v>
      </c>
      <c r="C255" s="44">
        <f>'3-Digit Lotto Table'!G47</f>
        <v>0</v>
      </c>
      <c r="D255" s="33">
        <v>142</v>
      </c>
      <c r="E255" s="44">
        <f>'3-Digit Lotto Table'!G147</f>
        <v>0</v>
      </c>
      <c r="F255" s="33">
        <v>242</v>
      </c>
      <c r="G255" s="44">
        <f>'3-Digit Lotto Table'!G247</f>
        <v>0</v>
      </c>
      <c r="H255" s="33">
        <v>342</v>
      </c>
      <c r="I255" s="44">
        <f>'3-Digit Lotto Table'!G347</f>
        <v>0</v>
      </c>
      <c r="J255" s="33">
        <v>442</v>
      </c>
      <c r="K255" s="46">
        <f>'3-Digit Lotto Table'!G447</f>
        <v>0</v>
      </c>
      <c r="L255" s="31">
        <v>542</v>
      </c>
      <c r="M255" s="46">
        <f>'3-Digit Lotto Table'!G547</f>
        <v>0</v>
      </c>
      <c r="N255" s="31">
        <v>642</v>
      </c>
      <c r="O255" s="46">
        <f>'3-Digit Lotto Table'!G647</f>
        <v>0</v>
      </c>
      <c r="P255" s="31">
        <v>742</v>
      </c>
      <c r="Q255" s="46">
        <f>'3-Digit Lotto Table'!G747</f>
        <v>0</v>
      </c>
      <c r="R255" s="31">
        <v>842</v>
      </c>
      <c r="S255" s="46">
        <f>'3-Digit Lotto Table'!G847</f>
        <v>0</v>
      </c>
      <c r="T255" s="36">
        <v>942</v>
      </c>
      <c r="U255" s="48">
        <f>'3-Digit Lotto Table'!G947</f>
        <v>0</v>
      </c>
    </row>
    <row r="256" spans="2:21" x14ac:dyDescent="0.3">
      <c r="B256" s="32">
        <v>43</v>
      </c>
      <c r="C256" s="44">
        <f>'3-Digit Lotto Table'!G48</f>
        <v>0</v>
      </c>
      <c r="D256" s="33">
        <v>143</v>
      </c>
      <c r="E256" s="44">
        <f>'3-Digit Lotto Table'!G148</f>
        <v>0</v>
      </c>
      <c r="F256" s="33">
        <v>243</v>
      </c>
      <c r="G256" s="44">
        <f>'3-Digit Lotto Table'!G248</f>
        <v>0</v>
      </c>
      <c r="H256" s="33">
        <v>343</v>
      </c>
      <c r="I256" s="44">
        <f>'3-Digit Lotto Table'!G348</f>
        <v>0</v>
      </c>
      <c r="J256" s="33">
        <v>443</v>
      </c>
      <c r="K256" s="46">
        <f>'3-Digit Lotto Table'!G448</f>
        <v>0</v>
      </c>
      <c r="L256" s="31">
        <v>543</v>
      </c>
      <c r="M256" s="46">
        <f>'3-Digit Lotto Table'!G548</f>
        <v>0</v>
      </c>
      <c r="N256" s="31">
        <v>643</v>
      </c>
      <c r="O256" s="46">
        <f>'3-Digit Lotto Table'!G648</f>
        <v>0</v>
      </c>
      <c r="P256" s="31">
        <v>743</v>
      </c>
      <c r="Q256" s="46">
        <f>'3-Digit Lotto Table'!G748</f>
        <v>0</v>
      </c>
      <c r="R256" s="31">
        <v>843</v>
      </c>
      <c r="S256" s="46">
        <f>'3-Digit Lotto Table'!G848</f>
        <v>0</v>
      </c>
      <c r="T256" s="36">
        <v>943</v>
      </c>
      <c r="U256" s="48">
        <f>'3-Digit Lotto Table'!G948</f>
        <v>0</v>
      </c>
    </row>
    <row r="257" spans="2:21" x14ac:dyDescent="0.3">
      <c r="B257" s="32">
        <v>44</v>
      </c>
      <c r="C257" s="44">
        <f>'3-Digit Lotto Table'!G49</f>
        <v>0</v>
      </c>
      <c r="D257" s="33">
        <v>144</v>
      </c>
      <c r="E257" s="44">
        <f>'3-Digit Lotto Table'!G149</f>
        <v>0</v>
      </c>
      <c r="F257" s="33">
        <v>244</v>
      </c>
      <c r="G257" s="44">
        <f>'3-Digit Lotto Table'!G249</f>
        <v>0</v>
      </c>
      <c r="H257" s="33">
        <v>344</v>
      </c>
      <c r="I257" s="44">
        <f>'3-Digit Lotto Table'!G349</f>
        <v>0</v>
      </c>
      <c r="J257" s="33">
        <v>444</v>
      </c>
      <c r="K257" s="46">
        <f>'3-Digit Lotto Table'!G449</f>
        <v>0</v>
      </c>
      <c r="L257" s="31">
        <v>544</v>
      </c>
      <c r="M257" s="46">
        <f>'3-Digit Lotto Table'!G549</f>
        <v>0</v>
      </c>
      <c r="N257" s="31">
        <v>644</v>
      </c>
      <c r="O257" s="46">
        <f>'3-Digit Lotto Table'!G649</f>
        <v>0</v>
      </c>
      <c r="P257" s="31">
        <v>744</v>
      </c>
      <c r="Q257" s="46">
        <f>'3-Digit Lotto Table'!G749</f>
        <v>0</v>
      </c>
      <c r="R257" s="31">
        <v>844</v>
      </c>
      <c r="S257" s="46">
        <f>'3-Digit Lotto Table'!G849</f>
        <v>0</v>
      </c>
      <c r="T257" s="36">
        <v>944</v>
      </c>
      <c r="U257" s="48">
        <f>'3-Digit Lotto Table'!G949</f>
        <v>0</v>
      </c>
    </row>
    <row r="258" spans="2:21" x14ac:dyDescent="0.3">
      <c r="B258" s="32">
        <v>45</v>
      </c>
      <c r="C258" s="44">
        <f>'3-Digit Lotto Table'!G50</f>
        <v>0</v>
      </c>
      <c r="D258" s="33">
        <v>145</v>
      </c>
      <c r="E258" s="44">
        <f>'3-Digit Lotto Table'!G150</f>
        <v>0</v>
      </c>
      <c r="F258" s="33">
        <v>245</v>
      </c>
      <c r="G258" s="44">
        <f>'3-Digit Lotto Table'!G250</f>
        <v>0</v>
      </c>
      <c r="H258" s="33">
        <v>345</v>
      </c>
      <c r="I258" s="44">
        <f>'3-Digit Lotto Table'!G350</f>
        <v>0</v>
      </c>
      <c r="J258" s="33">
        <v>445</v>
      </c>
      <c r="K258" s="46">
        <f>'3-Digit Lotto Table'!G450</f>
        <v>0</v>
      </c>
      <c r="L258" s="31">
        <v>545</v>
      </c>
      <c r="M258" s="46">
        <f>'3-Digit Lotto Table'!G550</f>
        <v>0</v>
      </c>
      <c r="N258" s="31">
        <v>645</v>
      </c>
      <c r="O258" s="46">
        <f>'3-Digit Lotto Table'!G650</f>
        <v>0</v>
      </c>
      <c r="P258" s="31">
        <v>745</v>
      </c>
      <c r="Q258" s="46">
        <f>'3-Digit Lotto Table'!G750</f>
        <v>0</v>
      </c>
      <c r="R258" s="31">
        <v>845</v>
      </c>
      <c r="S258" s="46">
        <f>'3-Digit Lotto Table'!G850</f>
        <v>0</v>
      </c>
      <c r="T258" s="36">
        <v>945</v>
      </c>
      <c r="U258" s="48">
        <f>'3-Digit Lotto Table'!G950</f>
        <v>0</v>
      </c>
    </row>
    <row r="259" spans="2:21" x14ac:dyDescent="0.3">
      <c r="B259" s="32">
        <v>46</v>
      </c>
      <c r="C259" s="44">
        <f>'3-Digit Lotto Table'!G51</f>
        <v>0</v>
      </c>
      <c r="D259" s="33">
        <v>146</v>
      </c>
      <c r="E259" s="44">
        <f>'3-Digit Lotto Table'!G151</f>
        <v>0</v>
      </c>
      <c r="F259" s="33">
        <v>246</v>
      </c>
      <c r="G259" s="44">
        <f>'3-Digit Lotto Table'!G251</f>
        <v>0</v>
      </c>
      <c r="H259" s="33">
        <v>346</v>
      </c>
      <c r="I259" s="44">
        <f>'3-Digit Lotto Table'!G351</f>
        <v>0</v>
      </c>
      <c r="J259" s="33">
        <v>446</v>
      </c>
      <c r="K259" s="46">
        <f>'3-Digit Lotto Table'!G451</f>
        <v>0</v>
      </c>
      <c r="L259" s="31">
        <v>546</v>
      </c>
      <c r="M259" s="46">
        <f>'3-Digit Lotto Table'!G551</f>
        <v>0</v>
      </c>
      <c r="N259" s="31">
        <v>646</v>
      </c>
      <c r="O259" s="46">
        <f>'3-Digit Lotto Table'!G651</f>
        <v>0</v>
      </c>
      <c r="P259" s="31">
        <v>746</v>
      </c>
      <c r="Q259" s="46">
        <f>'3-Digit Lotto Table'!G751</f>
        <v>0</v>
      </c>
      <c r="R259" s="31">
        <v>846</v>
      </c>
      <c r="S259" s="46">
        <f>'3-Digit Lotto Table'!G851</f>
        <v>0</v>
      </c>
      <c r="T259" s="36">
        <v>946</v>
      </c>
      <c r="U259" s="48">
        <f>'3-Digit Lotto Table'!G951</f>
        <v>0</v>
      </c>
    </row>
    <row r="260" spans="2:21" x14ac:dyDescent="0.3">
      <c r="B260" s="32">
        <v>47</v>
      </c>
      <c r="C260" s="44">
        <f>'3-Digit Lotto Table'!G52</f>
        <v>0</v>
      </c>
      <c r="D260" s="33">
        <v>147</v>
      </c>
      <c r="E260" s="44">
        <f>'3-Digit Lotto Table'!G152</f>
        <v>0</v>
      </c>
      <c r="F260" s="33">
        <v>247</v>
      </c>
      <c r="G260" s="44">
        <f>'3-Digit Lotto Table'!G252</f>
        <v>0</v>
      </c>
      <c r="H260" s="33">
        <v>347</v>
      </c>
      <c r="I260" s="44">
        <f>'3-Digit Lotto Table'!G352</f>
        <v>0</v>
      </c>
      <c r="J260" s="33">
        <v>447</v>
      </c>
      <c r="K260" s="46">
        <f>'3-Digit Lotto Table'!G452</f>
        <v>0</v>
      </c>
      <c r="L260" s="31">
        <v>547</v>
      </c>
      <c r="M260" s="46">
        <f>'3-Digit Lotto Table'!G552</f>
        <v>0</v>
      </c>
      <c r="N260" s="31">
        <v>647</v>
      </c>
      <c r="O260" s="46">
        <f>'3-Digit Lotto Table'!G652</f>
        <v>0</v>
      </c>
      <c r="P260" s="31">
        <v>747</v>
      </c>
      <c r="Q260" s="46">
        <f>'3-Digit Lotto Table'!G752</f>
        <v>0</v>
      </c>
      <c r="R260" s="31">
        <v>847</v>
      </c>
      <c r="S260" s="46">
        <f>'3-Digit Lotto Table'!G852</f>
        <v>0</v>
      </c>
      <c r="T260" s="36">
        <v>947</v>
      </c>
      <c r="U260" s="48">
        <f>'3-Digit Lotto Table'!G952</f>
        <v>0</v>
      </c>
    </row>
    <row r="261" spans="2:21" x14ac:dyDescent="0.3">
      <c r="B261" s="32">
        <v>48</v>
      </c>
      <c r="C261" s="44">
        <f>'3-Digit Lotto Table'!G53</f>
        <v>0</v>
      </c>
      <c r="D261" s="33">
        <v>148</v>
      </c>
      <c r="E261" s="44">
        <f>'3-Digit Lotto Table'!G153</f>
        <v>0</v>
      </c>
      <c r="F261" s="33">
        <v>248</v>
      </c>
      <c r="G261" s="44">
        <f>'3-Digit Lotto Table'!G253</f>
        <v>0</v>
      </c>
      <c r="H261" s="33">
        <v>348</v>
      </c>
      <c r="I261" s="44">
        <f>'3-Digit Lotto Table'!G353</f>
        <v>0</v>
      </c>
      <c r="J261" s="33">
        <v>448</v>
      </c>
      <c r="K261" s="46">
        <f>'3-Digit Lotto Table'!G453</f>
        <v>0</v>
      </c>
      <c r="L261" s="31">
        <v>548</v>
      </c>
      <c r="M261" s="46">
        <f>'3-Digit Lotto Table'!G553</f>
        <v>0</v>
      </c>
      <c r="N261" s="31">
        <v>648</v>
      </c>
      <c r="O261" s="46">
        <f>'3-Digit Lotto Table'!G653</f>
        <v>0</v>
      </c>
      <c r="P261" s="31">
        <v>748</v>
      </c>
      <c r="Q261" s="46">
        <f>'3-Digit Lotto Table'!G753</f>
        <v>0</v>
      </c>
      <c r="R261" s="31">
        <v>848</v>
      </c>
      <c r="S261" s="46">
        <f>'3-Digit Lotto Table'!G853</f>
        <v>0</v>
      </c>
      <c r="T261" s="36">
        <v>948</v>
      </c>
      <c r="U261" s="48">
        <f>'3-Digit Lotto Table'!G953</f>
        <v>0</v>
      </c>
    </row>
    <row r="262" spans="2:21" x14ac:dyDescent="0.3">
      <c r="B262" s="32">
        <v>49</v>
      </c>
      <c r="C262" s="44">
        <f>'3-Digit Lotto Table'!G54</f>
        <v>0</v>
      </c>
      <c r="D262" s="33">
        <v>149</v>
      </c>
      <c r="E262" s="44">
        <f>'3-Digit Lotto Table'!G154</f>
        <v>0</v>
      </c>
      <c r="F262" s="33">
        <v>249</v>
      </c>
      <c r="G262" s="44">
        <f>'3-Digit Lotto Table'!G254</f>
        <v>0</v>
      </c>
      <c r="H262" s="33">
        <v>349</v>
      </c>
      <c r="I262" s="44">
        <f>'3-Digit Lotto Table'!G354</f>
        <v>0</v>
      </c>
      <c r="J262" s="33">
        <v>449</v>
      </c>
      <c r="K262" s="46">
        <f>'3-Digit Lotto Table'!G454</f>
        <v>0</v>
      </c>
      <c r="L262" s="31">
        <v>549</v>
      </c>
      <c r="M262" s="46">
        <f>'3-Digit Lotto Table'!G554</f>
        <v>250</v>
      </c>
      <c r="N262" s="31">
        <v>649</v>
      </c>
      <c r="O262" s="46">
        <f>'3-Digit Lotto Table'!G654</f>
        <v>0</v>
      </c>
      <c r="P262" s="31">
        <v>749</v>
      </c>
      <c r="Q262" s="46">
        <f>'3-Digit Lotto Table'!G754</f>
        <v>0</v>
      </c>
      <c r="R262" s="31">
        <v>849</v>
      </c>
      <c r="S262" s="46">
        <f>'3-Digit Lotto Table'!G854</f>
        <v>0</v>
      </c>
      <c r="T262" s="36">
        <v>949</v>
      </c>
      <c r="U262" s="48">
        <f>'3-Digit Lotto Table'!G954</f>
        <v>0</v>
      </c>
    </row>
    <row r="263" spans="2:21" x14ac:dyDescent="0.3">
      <c r="B263" s="32">
        <v>50</v>
      </c>
      <c r="C263" s="44">
        <f>'3-Digit Lotto Table'!G55</f>
        <v>0</v>
      </c>
      <c r="D263" s="33">
        <v>150</v>
      </c>
      <c r="E263" s="44">
        <f>'3-Digit Lotto Table'!G155</f>
        <v>0</v>
      </c>
      <c r="F263" s="33">
        <v>250</v>
      </c>
      <c r="G263" s="44">
        <f>'3-Digit Lotto Table'!G255</f>
        <v>0</v>
      </c>
      <c r="H263" s="33">
        <v>350</v>
      </c>
      <c r="I263" s="44">
        <f>'3-Digit Lotto Table'!G355</f>
        <v>0</v>
      </c>
      <c r="J263" s="33">
        <v>450</v>
      </c>
      <c r="K263" s="46">
        <f>'3-Digit Lotto Table'!G455</f>
        <v>0</v>
      </c>
      <c r="L263" s="31">
        <v>550</v>
      </c>
      <c r="M263" s="46">
        <f>'3-Digit Lotto Table'!G555</f>
        <v>0</v>
      </c>
      <c r="N263" s="31">
        <v>650</v>
      </c>
      <c r="O263" s="46">
        <f>'3-Digit Lotto Table'!G655</f>
        <v>0</v>
      </c>
      <c r="P263" s="31">
        <v>750</v>
      </c>
      <c r="Q263" s="46">
        <f>'3-Digit Lotto Table'!G755</f>
        <v>0</v>
      </c>
      <c r="R263" s="31">
        <v>850</v>
      </c>
      <c r="S263" s="46">
        <f>'3-Digit Lotto Table'!G855</f>
        <v>0</v>
      </c>
      <c r="T263" s="36">
        <v>950</v>
      </c>
      <c r="U263" s="48">
        <f>'3-Digit Lotto Table'!G955</f>
        <v>0</v>
      </c>
    </row>
    <row r="264" spans="2:21" x14ac:dyDescent="0.3">
      <c r="B264" s="32">
        <v>51</v>
      </c>
      <c r="C264" s="44">
        <f>'3-Digit Lotto Table'!G56</f>
        <v>0</v>
      </c>
      <c r="D264" s="33">
        <v>151</v>
      </c>
      <c r="E264" s="44">
        <f>'3-Digit Lotto Table'!G156</f>
        <v>0</v>
      </c>
      <c r="F264" s="33">
        <v>251</v>
      </c>
      <c r="G264" s="44">
        <f>'3-Digit Lotto Table'!G256</f>
        <v>0</v>
      </c>
      <c r="H264" s="33">
        <v>351</v>
      </c>
      <c r="I264" s="44">
        <f>'3-Digit Lotto Table'!G356</f>
        <v>0</v>
      </c>
      <c r="J264" s="33">
        <v>451</v>
      </c>
      <c r="K264" s="46">
        <f>'3-Digit Lotto Table'!G456</f>
        <v>0</v>
      </c>
      <c r="L264" s="31">
        <v>551</v>
      </c>
      <c r="M264" s="46">
        <f>'3-Digit Lotto Table'!G556</f>
        <v>0</v>
      </c>
      <c r="N264" s="31">
        <v>651</v>
      </c>
      <c r="O264" s="46">
        <f>'3-Digit Lotto Table'!G656</f>
        <v>0</v>
      </c>
      <c r="P264" s="31">
        <v>751</v>
      </c>
      <c r="Q264" s="46">
        <f>'3-Digit Lotto Table'!G756</f>
        <v>0</v>
      </c>
      <c r="R264" s="31">
        <v>851</v>
      </c>
      <c r="S264" s="46">
        <f>'3-Digit Lotto Table'!G856</f>
        <v>0</v>
      </c>
      <c r="T264" s="36">
        <v>951</v>
      </c>
      <c r="U264" s="48">
        <f>'3-Digit Lotto Table'!G956</f>
        <v>0</v>
      </c>
    </row>
    <row r="265" spans="2:21" x14ac:dyDescent="0.3">
      <c r="B265" s="32">
        <v>52</v>
      </c>
      <c r="C265" s="44">
        <f>'3-Digit Lotto Table'!G57</f>
        <v>0</v>
      </c>
      <c r="D265" s="33">
        <v>152</v>
      </c>
      <c r="E265" s="44">
        <f>'3-Digit Lotto Table'!G157</f>
        <v>0</v>
      </c>
      <c r="F265" s="33">
        <v>252</v>
      </c>
      <c r="G265" s="44">
        <f>'3-Digit Lotto Table'!G257</f>
        <v>0</v>
      </c>
      <c r="H265" s="33">
        <v>352</v>
      </c>
      <c r="I265" s="44">
        <f>'3-Digit Lotto Table'!G357</f>
        <v>0</v>
      </c>
      <c r="J265" s="33">
        <v>452</v>
      </c>
      <c r="K265" s="46">
        <f>'3-Digit Lotto Table'!G457</f>
        <v>0</v>
      </c>
      <c r="L265" s="31">
        <v>552</v>
      </c>
      <c r="M265" s="46">
        <f>'3-Digit Lotto Table'!G557</f>
        <v>0</v>
      </c>
      <c r="N265" s="31">
        <v>652</v>
      </c>
      <c r="O265" s="46">
        <f>'3-Digit Lotto Table'!G657</f>
        <v>0</v>
      </c>
      <c r="P265" s="31">
        <v>752</v>
      </c>
      <c r="Q265" s="46">
        <f>'3-Digit Lotto Table'!G757</f>
        <v>0</v>
      </c>
      <c r="R265" s="31">
        <v>852</v>
      </c>
      <c r="S265" s="46">
        <f>'3-Digit Lotto Table'!G857</f>
        <v>0</v>
      </c>
      <c r="T265" s="36">
        <v>952</v>
      </c>
      <c r="U265" s="48">
        <f>'3-Digit Lotto Table'!G957</f>
        <v>0</v>
      </c>
    </row>
    <row r="266" spans="2:21" x14ac:dyDescent="0.3">
      <c r="B266" s="32">
        <v>53</v>
      </c>
      <c r="C266" s="44">
        <f>'3-Digit Lotto Table'!G58</f>
        <v>0</v>
      </c>
      <c r="D266" s="33">
        <v>153</v>
      </c>
      <c r="E266" s="44">
        <f>'3-Digit Lotto Table'!G158</f>
        <v>0</v>
      </c>
      <c r="F266" s="33">
        <v>253</v>
      </c>
      <c r="G266" s="44">
        <f>'3-Digit Lotto Table'!G258</f>
        <v>0</v>
      </c>
      <c r="H266" s="33">
        <v>353</v>
      </c>
      <c r="I266" s="44">
        <f>'3-Digit Lotto Table'!G358</f>
        <v>0</v>
      </c>
      <c r="J266" s="33">
        <v>453</v>
      </c>
      <c r="K266" s="46">
        <f>'3-Digit Lotto Table'!G458</f>
        <v>0</v>
      </c>
      <c r="L266" s="31">
        <v>553</v>
      </c>
      <c r="M266" s="46">
        <f>'3-Digit Lotto Table'!G558</f>
        <v>0</v>
      </c>
      <c r="N266" s="31">
        <v>653</v>
      </c>
      <c r="O266" s="46">
        <f>'3-Digit Lotto Table'!G658</f>
        <v>0</v>
      </c>
      <c r="P266" s="31">
        <v>753</v>
      </c>
      <c r="Q266" s="46">
        <f>'3-Digit Lotto Table'!G758</f>
        <v>0</v>
      </c>
      <c r="R266" s="31">
        <v>853</v>
      </c>
      <c r="S266" s="46">
        <f>'3-Digit Lotto Table'!G858</f>
        <v>0</v>
      </c>
      <c r="T266" s="36">
        <v>953</v>
      </c>
      <c r="U266" s="48">
        <f>'3-Digit Lotto Table'!G958</f>
        <v>0</v>
      </c>
    </row>
    <row r="267" spans="2:21" x14ac:dyDescent="0.3">
      <c r="B267" s="32">
        <v>54</v>
      </c>
      <c r="C267" s="44">
        <f>'3-Digit Lotto Table'!G59</f>
        <v>0</v>
      </c>
      <c r="D267" s="33">
        <v>154</v>
      </c>
      <c r="E267" s="44">
        <f>'3-Digit Lotto Table'!G159</f>
        <v>0</v>
      </c>
      <c r="F267" s="33">
        <v>254</v>
      </c>
      <c r="G267" s="44">
        <f>'3-Digit Lotto Table'!G259</f>
        <v>0</v>
      </c>
      <c r="H267" s="33">
        <v>354</v>
      </c>
      <c r="I267" s="44">
        <f>'3-Digit Lotto Table'!G359</f>
        <v>0</v>
      </c>
      <c r="J267" s="33">
        <v>454</v>
      </c>
      <c r="K267" s="46">
        <f>'3-Digit Lotto Table'!G459</f>
        <v>0</v>
      </c>
      <c r="L267" s="31">
        <v>554</v>
      </c>
      <c r="M267" s="46">
        <f>'3-Digit Lotto Table'!G559</f>
        <v>0</v>
      </c>
      <c r="N267" s="31">
        <v>654</v>
      </c>
      <c r="O267" s="46">
        <f>'3-Digit Lotto Table'!G659</f>
        <v>0</v>
      </c>
      <c r="P267" s="31">
        <v>754</v>
      </c>
      <c r="Q267" s="46">
        <f>'3-Digit Lotto Table'!G759</f>
        <v>0</v>
      </c>
      <c r="R267" s="31">
        <v>854</v>
      </c>
      <c r="S267" s="46">
        <f>'3-Digit Lotto Table'!G859</f>
        <v>0</v>
      </c>
      <c r="T267" s="36">
        <v>954</v>
      </c>
      <c r="U267" s="48">
        <f>'3-Digit Lotto Table'!G959</f>
        <v>0</v>
      </c>
    </row>
    <row r="268" spans="2:21" x14ac:dyDescent="0.3">
      <c r="B268" s="32">
        <v>55</v>
      </c>
      <c r="C268" s="44">
        <f>'3-Digit Lotto Table'!G60</f>
        <v>0</v>
      </c>
      <c r="D268" s="33">
        <v>155</v>
      </c>
      <c r="E268" s="44">
        <f>'3-Digit Lotto Table'!G160</f>
        <v>0</v>
      </c>
      <c r="F268" s="33">
        <v>255</v>
      </c>
      <c r="G268" s="44">
        <f>'3-Digit Lotto Table'!G260</f>
        <v>0</v>
      </c>
      <c r="H268" s="33">
        <v>355</v>
      </c>
      <c r="I268" s="44">
        <f>'3-Digit Lotto Table'!G360</f>
        <v>0</v>
      </c>
      <c r="J268" s="33">
        <v>455</v>
      </c>
      <c r="K268" s="46">
        <f>'3-Digit Lotto Table'!G460</f>
        <v>0</v>
      </c>
      <c r="L268" s="31">
        <v>555</v>
      </c>
      <c r="M268" s="46">
        <f>'3-Digit Lotto Table'!G560</f>
        <v>0</v>
      </c>
      <c r="N268" s="31">
        <v>655</v>
      </c>
      <c r="O268" s="46">
        <f>'3-Digit Lotto Table'!G660</f>
        <v>0</v>
      </c>
      <c r="P268" s="31">
        <v>755</v>
      </c>
      <c r="Q268" s="46">
        <f>'3-Digit Lotto Table'!G760</f>
        <v>0</v>
      </c>
      <c r="R268" s="31">
        <v>855</v>
      </c>
      <c r="S268" s="46">
        <f>'3-Digit Lotto Table'!G860</f>
        <v>0</v>
      </c>
      <c r="T268" s="36">
        <v>955</v>
      </c>
      <c r="U268" s="48">
        <f>'3-Digit Lotto Table'!G960</f>
        <v>0</v>
      </c>
    </row>
    <row r="269" spans="2:21" x14ac:dyDescent="0.3">
      <c r="B269" s="32">
        <v>56</v>
      </c>
      <c r="C269" s="44">
        <f>'3-Digit Lotto Table'!G61</f>
        <v>0</v>
      </c>
      <c r="D269" s="33">
        <v>156</v>
      </c>
      <c r="E269" s="44">
        <f>'3-Digit Lotto Table'!G161</f>
        <v>0</v>
      </c>
      <c r="F269" s="33">
        <v>256</v>
      </c>
      <c r="G269" s="44">
        <f>'3-Digit Lotto Table'!G261</f>
        <v>0</v>
      </c>
      <c r="H269" s="33">
        <v>356</v>
      </c>
      <c r="I269" s="44">
        <f>'3-Digit Lotto Table'!G361</f>
        <v>0</v>
      </c>
      <c r="J269" s="33">
        <v>456</v>
      </c>
      <c r="K269" s="46">
        <f>'3-Digit Lotto Table'!G461</f>
        <v>0</v>
      </c>
      <c r="L269" s="31">
        <v>556</v>
      </c>
      <c r="M269" s="46">
        <f>'3-Digit Lotto Table'!G561</f>
        <v>0</v>
      </c>
      <c r="N269" s="31">
        <v>656</v>
      </c>
      <c r="O269" s="46">
        <f>'3-Digit Lotto Table'!G661</f>
        <v>0</v>
      </c>
      <c r="P269" s="31">
        <v>756</v>
      </c>
      <c r="Q269" s="46">
        <f>'3-Digit Lotto Table'!G761</f>
        <v>0</v>
      </c>
      <c r="R269" s="31">
        <v>856</v>
      </c>
      <c r="S269" s="46">
        <f>'3-Digit Lotto Table'!G861</f>
        <v>0</v>
      </c>
      <c r="T269" s="36">
        <v>956</v>
      </c>
      <c r="U269" s="48">
        <f>'3-Digit Lotto Table'!G961</f>
        <v>0</v>
      </c>
    </row>
    <row r="270" spans="2:21" x14ac:dyDescent="0.3">
      <c r="B270" s="32">
        <v>57</v>
      </c>
      <c r="C270" s="44">
        <f>'3-Digit Lotto Table'!G62</f>
        <v>0</v>
      </c>
      <c r="D270" s="33">
        <v>157</v>
      </c>
      <c r="E270" s="44">
        <f>'3-Digit Lotto Table'!G162</f>
        <v>0</v>
      </c>
      <c r="F270" s="33">
        <v>257</v>
      </c>
      <c r="G270" s="44">
        <f>'3-Digit Lotto Table'!G262</f>
        <v>0</v>
      </c>
      <c r="H270" s="33">
        <v>357</v>
      </c>
      <c r="I270" s="44">
        <f>'3-Digit Lotto Table'!G362</f>
        <v>0</v>
      </c>
      <c r="J270" s="33">
        <v>457</v>
      </c>
      <c r="K270" s="46">
        <f>'3-Digit Lotto Table'!G462</f>
        <v>0</v>
      </c>
      <c r="L270" s="31">
        <v>557</v>
      </c>
      <c r="M270" s="46">
        <f>'3-Digit Lotto Table'!G562</f>
        <v>0</v>
      </c>
      <c r="N270" s="31">
        <v>657</v>
      </c>
      <c r="O270" s="46">
        <f>'3-Digit Lotto Table'!G662</f>
        <v>0</v>
      </c>
      <c r="P270" s="31">
        <v>757</v>
      </c>
      <c r="Q270" s="46">
        <f>'3-Digit Lotto Table'!G762</f>
        <v>0</v>
      </c>
      <c r="R270" s="31">
        <v>857</v>
      </c>
      <c r="S270" s="46">
        <f>'3-Digit Lotto Table'!G862</f>
        <v>0</v>
      </c>
      <c r="T270" s="36">
        <v>957</v>
      </c>
      <c r="U270" s="48">
        <f>'3-Digit Lotto Table'!G962</f>
        <v>0</v>
      </c>
    </row>
    <row r="271" spans="2:21" x14ac:dyDescent="0.3">
      <c r="B271" s="32">
        <v>58</v>
      </c>
      <c r="C271" s="44">
        <f>'3-Digit Lotto Table'!G63</f>
        <v>0</v>
      </c>
      <c r="D271" s="33">
        <v>158</v>
      </c>
      <c r="E271" s="44">
        <f>'3-Digit Lotto Table'!G163</f>
        <v>0</v>
      </c>
      <c r="F271" s="33">
        <v>258</v>
      </c>
      <c r="G271" s="44">
        <f>'3-Digit Lotto Table'!G263</f>
        <v>0</v>
      </c>
      <c r="H271" s="33">
        <v>358</v>
      </c>
      <c r="I271" s="44">
        <f>'3-Digit Lotto Table'!G363</f>
        <v>0</v>
      </c>
      <c r="J271" s="33">
        <v>458</v>
      </c>
      <c r="K271" s="46">
        <f>'3-Digit Lotto Table'!G463</f>
        <v>0</v>
      </c>
      <c r="L271" s="31">
        <v>558</v>
      </c>
      <c r="M271" s="46">
        <f>'3-Digit Lotto Table'!G563</f>
        <v>0</v>
      </c>
      <c r="N271" s="31">
        <v>658</v>
      </c>
      <c r="O271" s="46">
        <f>'3-Digit Lotto Table'!G663</f>
        <v>0</v>
      </c>
      <c r="P271" s="31">
        <v>758</v>
      </c>
      <c r="Q271" s="46">
        <f>'3-Digit Lotto Table'!G763</f>
        <v>0</v>
      </c>
      <c r="R271" s="31">
        <v>858</v>
      </c>
      <c r="S271" s="46">
        <f>'3-Digit Lotto Table'!G863</f>
        <v>0</v>
      </c>
      <c r="T271" s="36">
        <v>958</v>
      </c>
      <c r="U271" s="48">
        <f>'3-Digit Lotto Table'!G963</f>
        <v>0</v>
      </c>
    </row>
    <row r="272" spans="2:21" x14ac:dyDescent="0.3">
      <c r="B272" s="32">
        <v>59</v>
      </c>
      <c r="C272" s="44">
        <f>'3-Digit Lotto Table'!G64</f>
        <v>0</v>
      </c>
      <c r="D272" s="33">
        <v>159</v>
      </c>
      <c r="E272" s="44">
        <f>'3-Digit Lotto Table'!G164</f>
        <v>0</v>
      </c>
      <c r="F272" s="33">
        <v>259</v>
      </c>
      <c r="G272" s="44">
        <f>'3-Digit Lotto Table'!G264</f>
        <v>0</v>
      </c>
      <c r="H272" s="33">
        <v>359</v>
      </c>
      <c r="I272" s="44">
        <f>'3-Digit Lotto Table'!G364</f>
        <v>0</v>
      </c>
      <c r="J272" s="33">
        <v>459</v>
      </c>
      <c r="K272" s="46">
        <f>'3-Digit Lotto Table'!G464</f>
        <v>0</v>
      </c>
      <c r="L272" s="31">
        <v>559</v>
      </c>
      <c r="M272" s="46">
        <f>'3-Digit Lotto Table'!G564</f>
        <v>0</v>
      </c>
      <c r="N272" s="31">
        <v>659</v>
      </c>
      <c r="O272" s="46">
        <f>'3-Digit Lotto Table'!G664</f>
        <v>0</v>
      </c>
      <c r="P272" s="31">
        <v>759</v>
      </c>
      <c r="Q272" s="46">
        <f>'3-Digit Lotto Table'!G764</f>
        <v>0</v>
      </c>
      <c r="R272" s="31">
        <v>859</v>
      </c>
      <c r="S272" s="46">
        <f>'3-Digit Lotto Table'!G864</f>
        <v>0</v>
      </c>
      <c r="T272" s="36">
        <v>959</v>
      </c>
      <c r="U272" s="48">
        <f>'3-Digit Lotto Table'!G964</f>
        <v>0</v>
      </c>
    </row>
    <row r="273" spans="2:21" x14ac:dyDescent="0.3">
      <c r="B273" s="32">
        <v>60</v>
      </c>
      <c r="C273" s="44">
        <f>'3-Digit Lotto Table'!G65</f>
        <v>0</v>
      </c>
      <c r="D273" s="33">
        <v>160</v>
      </c>
      <c r="E273" s="44">
        <f>'3-Digit Lotto Table'!G165</f>
        <v>0</v>
      </c>
      <c r="F273" s="33">
        <v>260</v>
      </c>
      <c r="G273" s="44">
        <f>'3-Digit Lotto Table'!G265</f>
        <v>0</v>
      </c>
      <c r="H273" s="33">
        <v>360</v>
      </c>
      <c r="I273" s="44">
        <f>'3-Digit Lotto Table'!G365</f>
        <v>0</v>
      </c>
      <c r="J273" s="33">
        <v>460</v>
      </c>
      <c r="K273" s="46">
        <f>'3-Digit Lotto Table'!G465</f>
        <v>0</v>
      </c>
      <c r="L273" s="31">
        <v>560</v>
      </c>
      <c r="M273" s="46">
        <f>'3-Digit Lotto Table'!G565</f>
        <v>0</v>
      </c>
      <c r="N273" s="31">
        <v>660</v>
      </c>
      <c r="O273" s="46">
        <f>'3-Digit Lotto Table'!G665</f>
        <v>0</v>
      </c>
      <c r="P273" s="31">
        <v>760</v>
      </c>
      <c r="Q273" s="46">
        <f>'3-Digit Lotto Table'!G765</f>
        <v>0</v>
      </c>
      <c r="R273" s="31">
        <v>860</v>
      </c>
      <c r="S273" s="46">
        <f>'3-Digit Lotto Table'!G865</f>
        <v>0</v>
      </c>
      <c r="T273" s="36">
        <v>960</v>
      </c>
      <c r="U273" s="48">
        <f>'3-Digit Lotto Table'!G965</f>
        <v>0</v>
      </c>
    </row>
    <row r="274" spans="2:21" x14ac:dyDescent="0.3">
      <c r="B274" s="32">
        <v>61</v>
      </c>
      <c r="C274" s="44">
        <f>'3-Digit Lotto Table'!G66</f>
        <v>0</v>
      </c>
      <c r="D274" s="33">
        <v>161</v>
      </c>
      <c r="E274" s="44">
        <f>'3-Digit Lotto Table'!G166</f>
        <v>0</v>
      </c>
      <c r="F274" s="33">
        <v>261</v>
      </c>
      <c r="G274" s="44">
        <f>'3-Digit Lotto Table'!G266</f>
        <v>0</v>
      </c>
      <c r="H274" s="33">
        <v>361</v>
      </c>
      <c r="I274" s="44">
        <f>'3-Digit Lotto Table'!G366</f>
        <v>0</v>
      </c>
      <c r="J274" s="33">
        <v>461</v>
      </c>
      <c r="K274" s="46">
        <f>'3-Digit Lotto Table'!G466</f>
        <v>0</v>
      </c>
      <c r="L274" s="31">
        <v>561</v>
      </c>
      <c r="M274" s="46">
        <f>'3-Digit Lotto Table'!G566</f>
        <v>0</v>
      </c>
      <c r="N274" s="31">
        <v>661</v>
      </c>
      <c r="O274" s="46">
        <f>'3-Digit Lotto Table'!G666</f>
        <v>0</v>
      </c>
      <c r="P274" s="31">
        <v>761</v>
      </c>
      <c r="Q274" s="46">
        <f>'3-Digit Lotto Table'!G766</f>
        <v>0</v>
      </c>
      <c r="R274" s="31">
        <v>861</v>
      </c>
      <c r="S274" s="46">
        <f>'3-Digit Lotto Table'!G866</f>
        <v>0</v>
      </c>
      <c r="T274" s="36">
        <v>961</v>
      </c>
      <c r="U274" s="48">
        <f>'3-Digit Lotto Table'!G966</f>
        <v>0</v>
      </c>
    </row>
    <row r="275" spans="2:21" x14ac:dyDescent="0.3">
      <c r="B275" s="32">
        <v>62</v>
      </c>
      <c r="C275" s="44">
        <f>'3-Digit Lotto Table'!G67</f>
        <v>0</v>
      </c>
      <c r="D275" s="33">
        <v>162</v>
      </c>
      <c r="E275" s="44">
        <f>'3-Digit Lotto Table'!G167</f>
        <v>0</v>
      </c>
      <c r="F275" s="33">
        <v>262</v>
      </c>
      <c r="G275" s="44">
        <f>'3-Digit Lotto Table'!G267</f>
        <v>0</v>
      </c>
      <c r="H275" s="33">
        <v>362</v>
      </c>
      <c r="I275" s="44">
        <f>'3-Digit Lotto Table'!G367</f>
        <v>0</v>
      </c>
      <c r="J275" s="33">
        <v>462</v>
      </c>
      <c r="K275" s="46">
        <f>'3-Digit Lotto Table'!G467</f>
        <v>0</v>
      </c>
      <c r="L275" s="31">
        <v>562</v>
      </c>
      <c r="M275" s="46">
        <f>'3-Digit Lotto Table'!G567</f>
        <v>0</v>
      </c>
      <c r="N275" s="31">
        <v>662</v>
      </c>
      <c r="O275" s="46">
        <f>'3-Digit Lotto Table'!G667</f>
        <v>0</v>
      </c>
      <c r="P275" s="31">
        <v>762</v>
      </c>
      <c r="Q275" s="46">
        <f>'3-Digit Lotto Table'!G767</f>
        <v>0</v>
      </c>
      <c r="R275" s="31">
        <v>862</v>
      </c>
      <c r="S275" s="46">
        <f>'3-Digit Lotto Table'!G867</f>
        <v>0</v>
      </c>
      <c r="T275" s="36">
        <v>962</v>
      </c>
      <c r="U275" s="48">
        <f>'3-Digit Lotto Table'!G967</f>
        <v>0</v>
      </c>
    </row>
    <row r="276" spans="2:21" x14ac:dyDescent="0.3">
      <c r="B276" s="32">
        <v>63</v>
      </c>
      <c r="C276" s="44">
        <f>'3-Digit Lotto Table'!G68</f>
        <v>0</v>
      </c>
      <c r="D276" s="33">
        <v>163</v>
      </c>
      <c r="E276" s="44">
        <f>'3-Digit Lotto Table'!G168</f>
        <v>0</v>
      </c>
      <c r="F276" s="33">
        <v>263</v>
      </c>
      <c r="G276" s="44">
        <f>'3-Digit Lotto Table'!G268</f>
        <v>0</v>
      </c>
      <c r="H276" s="33">
        <v>363</v>
      </c>
      <c r="I276" s="44">
        <f>'3-Digit Lotto Table'!G368</f>
        <v>0</v>
      </c>
      <c r="J276" s="33">
        <v>463</v>
      </c>
      <c r="K276" s="46">
        <f>'3-Digit Lotto Table'!G468</f>
        <v>0</v>
      </c>
      <c r="L276" s="31">
        <v>563</v>
      </c>
      <c r="M276" s="46">
        <f>'3-Digit Lotto Table'!G568</f>
        <v>0</v>
      </c>
      <c r="N276" s="31">
        <v>663</v>
      </c>
      <c r="O276" s="46">
        <f>'3-Digit Lotto Table'!G668</f>
        <v>0</v>
      </c>
      <c r="P276" s="31">
        <v>763</v>
      </c>
      <c r="Q276" s="46">
        <f>'3-Digit Lotto Table'!G768</f>
        <v>100</v>
      </c>
      <c r="R276" s="31">
        <v>863</v>
      </c>
      <c r="S276" s="46">
        <f>'3-Digit Lotto Table'!G868</f>
        <v>0</v>
      </c>
      <c r="T276" s="36">
        <v>963</v>
      </c>
      <c r="U276" s="48">
        <f>'3-Digit Lotto Table'!G968</f>
        <v>0</v>
      </c>
    </row>
    <row r="277" spans="2:21" x14ac:dyDescent="0.3">
      <c r="B277" s="32">
        <v>64</v>
      </c>
      <c r="C277" s="44">
        <f>'3-Digit Lotto Table'!G69</f>
        <v>0</v>
      </c>
      <c r="D277" s="33">
        <v>164</v>
      </c>
      <c r="E277" s="44">
        <f>'3-Digit Lotto Table'!G169</f>
        <v>0</v>
      </c>
      <c r="F277" s="33">
        <v>264</v>
      </c>
      <c r="G277" s="44">
        <f>'3-Digit Lotto Table'!G269</f>
        <v>0</v>
      </c>
      <c r="H277" s="33">
        <v>364</v>
      </c>
      <c r="I277" s="44">
        <f>'3-Digit Lotto Table'!G369</f>
        <v>0</v>
      </c>
      <c r="J277" s="33">
        <v>464</v>
      </c>
      <c r="K277" s="46">
        <f>'3-Digit Lotto Table'!G469</f>
        <v>0</v>
      </c>
      <c r="L277" s="31">
        <v>564</v>
      </c>
      <c r="M277" s="46">
        <f>'3-Digit Lotto Table'!G569</f>
        <v>0</v>
      </c>
      <c r="N277" s="31">
        <v>664</v>
      </c>
      <c r="O277" s="46">
        <f>'3-Digit Lotto Table'!G669</f>
        <v>0</v>
      </c>
      <c r="P277" s="31">
        <v>764</v>
      </c>
      <c r="Q277" s="46">
        <f>'3-Digit Lotto Table'!G769</f>
        <v>0</v>
      </c>
      <c r="R277" s="31">
        <v>864</v>
      </c>
      <c r="S277" s="46">
        <f>'3-Digit Lotto Table'!G869</f>
        <v>0</v>
      </c>
      <c r="T277" s="36">
        <v>964</v>
      </c>
      <c r="U277" s="48">
        <f>'3-Digit Lotto Table'!G969</f>
        <v>0</v>
      </c>
    </row>
    <row r="278" spans="2:21" x14ac:dyDescent="0.3">
      <c r="B278" s="32">
        <v>65</v>
      </c>
      <c r="C278" s="44">
        <f>'3-Digit Lotto Table'!G70</f>
        <v>0</v>
      </c>
      <c r="D278" s="33">
        <v>165</v>
      </c>
      <c r="E278" s="44">
        <f>'3-Digit Lotto Table'!G170</f>
        <v>0</v>
      </c>
      <c r="F278" s="33">
        <v>265</v>
      </c>
      <c r="G278" s="44">
        <f>'3-Digit Lotto Table'!G270</f>
        <v>0</v>
      </c>
      <c r="H278" s="33">
        <v>365</v>
      </c>
      <c r="I278" s="44">
        <f>'3-Digit Lotto Table'!G370</f>
        <v>0</v>
      </c>
      <c r="J278" s="33">
        <v>465</v>
      </c>
      <c r="K278" s="46">
        <f>'3-Digit Lotto Table'!G470</f>
        <v>0</v>
      </c>
      <c r="L278" s="31">
        <v>565</v>
      </c>
      <c r="M278" s="46">
        <f>'3-Digit Lotto Table'!G570</f>
        <v>0</v>
      </c>
      <c r="N278" s="31">
        <v>665</v>
      </c>
      <c r="O278" s="46">
        <f>'3-Digit Lotto Table'!G670</f>
        <v>0</v>
      </c>
      <c r="P278" s="31">
        <v>765</v>
      </c>
      <c r="Q278" s="46">
        <f>'3-Digit Lotto Table'!G770</f>
        <v>0</v>
      </c>
      <c r="R278" s="31">
        <v>865</v>
      </c>
      <c r="S278" s="46">
        <f>'3-Digit Lotto Table'!G870</f>
        <v>0</v>
      </c>
      <c r="T278" s="36">
        <v>965</v>
      </c>
      <c r="U278" s="48">
        <f>'3-Digit Lotto Table'!G970</f>
        <v>0</v>
      </c>
    </row>
    <row r="279" spans="2:21" x14ac:dyDescent="0.3">
      <c r="B279" s="32">
        <v>66</v>
      </c>
      <c r="C279" s="44">
        <f>'3-Digit Lotto Table'!G71</f>
        <v>0</v>
      </c>
      <c r="D279" s="33">
        <v>166</v>
      </c>
      <c r="E279" s="44">
        <f>'3-Digit Lotto Table'!G171</f>
        <v>0</v>
      </c>
      <c r="F279" s="33">
        <v>266</v>
      </c>
      <c r="G279" s="44">
        <f>'3-Digit Lotto Table'!G271</f>
        <v>0</v>
      </c>
      <c r="H279" s="33">
        <v>366</v>
      </c>
      <c r="I279" s="44">
        <f>'3-Digit Lotto Table'!G371</f>
        <v>0</v>
      </c>
      <c r="J279" s="33">
        <v>466</v>
      </c>
      <c r="K279" s="46">
        <f>'3-Digit Lotto Table'!G471</f>
        <v>0</v>
      </c>
      <c r="L279" s="31">
        <v>566</v>
      </c>
      <c r="M279" s="46">
        <f>'3-Digit Lotto Table'!G571</f>
        <v>0</v>
      </c>
      <c r="N279" s="31">
        <v>666</v>
      </c>
      <c r="O279" s="46">
        <f>'3-Digit Lotto Table'!G671</f>
        <v>0</v>
      </c>
      <c r="P279" s="31">
        <v>766</v>
      </c>
      <c r="Q279" s="46">
        <f>'3-Digit Lotto Table'!G771</f>
        <v>0</v>
      </c>
      <c r="R279" s="31">
        <v>866</v>
      </c>
      <c r="S279" s="46">
        <f>'3-Digit Lotto Table'!G871</f>
        <v>0</v>
      </c>
      <c r="T279" s="36">
        <v>966</v>
      </c>
      <c r="U279" s="48">
        <f>'3-Digit Lotto Table'!G971</f>
        <v>0</v>
      </c>
    </row>
    <row r="280" spans="2:21" x14ac:dyDescent="0.3">
      <c r="B280" s="32">
        <v>67</v>
      </c>
      <c r="C280" s="44">
        <f>'3-Digit Lotto Table'!G72</f>
        <v>0</v>
      </c>
      <c r="D280" s="33">
        <v>167</v>
      </c>
      <c r="E280" s="44">
        <f>'3-Digit Lotto Table'!G172</f>
        <v>0</v>
      </c>
      <c r="F280" s="33">
        <v>267</v>
      </c>
      <c r="G280" s="44">
        <f>'3-Digit Lotto Table'!G272</f>
        <v>0</v>
      </c>
      <c r="H280" s="33">
        <v>367</v>
      </c>
      <c r="I280" s="44">
        <f>'3-Digit Lotto Table'!G372</f>
        <v>100</v>
      </c>
      <c r="J280" s="33">
        <v>467</v>
      </c>
      <c r="K280" s="46">
        <f>'3-Digit Lotto Table'!G472</f>
        <v>0</v>
      </c>
      <c r="L280" s="31">
        <v>567</v>
      </c>
      <c r="M280" s="46">
        <f>'3-Digit Lotto Table'!G572</f>
        <v>0</v>
      </c>
      <c r="N280" s="31">
        <v>667</v>
      </c>
      <c r="O280" s="46">
        <f>'3-Digit Lotto Table'!G672</f>
        <v>0</v>
      </c>
      <c r="P280" s="31">
        <v>767</v>
      </c>
      <c r="Q280" s="46">
        <f>'3-Digit Lotto Table'!G772</f>
        <v>0</v>
      </c>
      <c r="R280" s="31">
        <v>867</v>
      </c>
      <c r="S280" s="46">
        <f>'3-Digit Lotto Table'!G872</f>
        <v>0</v>
      </c>
      <c r="T280" s="36">
        <v>967</v>
      </c>
      <c r="U280" s="48">
        <f>'3-Digit Lotto Table'!G972</f>
        <v>0</v>
      </c>
    </row>
    <row r="281" spans="2:21" x14ac:dyDescent="0.3">
      <c r="B281" s="32">
        <v>68</v>
      </c>
      <c r="C281" s="44">
        <f>'3-Digit Lotto Table'!G73</f>
        <v>0</v>
      </c>
      <c r="D281" s="33">
        <v>168</v>
      </c>
      <c r="E281" s="44">
        <f>'3-Digit Lotto Table'!G173</f>
        <v>0</v>
      </c>
      <c r="F281" s="33">
        <v>268</v>
      </c>
      <c r="G281" s="44">
        <f>'3-Digit Lotto Table'!G273</f>
        <v>0</v>
      </c>
      <c r="H281" s="33">
        <v>368</v>
      </c>
      <c r="I281" s="44">
        <f>'3-Digit Lotto Table'!G373</f>
        <v>0</v>
      </c>
      <c r="J281" s="33">
        <v>468</v>
      </c>
      <c r="K281" s="46">
        <f>'3-Digit Lotto Table'!G473</f>
        <v>0</v>
      </c>
      <c r="L281" s="31">
        <v>568</v>
      </c>
      <c r="M281" s="46">
        <f>'3-Digit Lotto Table'!G573</f>
        <v>0</v>
      </c>
      <c r="N281" s="31">
        <v>668</v>
      </c>
      <c r="O281" s="46">
        <f>'3-Digit Lotto Table'!G673</f>
        <v>0</v>
      </c>
      <c r="P281" s="31">
        <v>768</v>
      </c>
      <c r="Q281" s="46">
        <f>'3-Digit Lotto Table'!G773</f>
        <v>0</v>
      </c>
      <c r="R281" s="31">
        <v>868</v>
      </c>
      <c r="S281" s="46">
        <f>'3-Digit Lotto Table'!G873</f>
        <v>0</v>
      </c>
      <c r="T281" s="36">
        <v>968</v>
      </c>
      <c r="U281" s="48">
        <f>'3-Digit Lotto Table'!G973</f>
        <v>0</v>
      </c>
    </row>
    <row r="282" spans="2:21" x14ac:dyDescent="0.3">
      <c r="B282" s="32">
        <v>69</v>
      </c>
      <c r="C282" s="44">
        <f>'3-Digit Lotto Table'!G74</f>
        <v>0</v>
      </c>
      <c r="D282" s="33">
        <v>169</v>
      </c>
      <c r="E282" s="44">
        <f>'3-Digit Lotto Table'!G174</f>
        <v>0</v>
      </c>
      <c r="F282" s="33">
        <v>269</v>
      </c>
      <c r="G282" s="44">
        <f>'3-Digit Lotto Table'!G274</f>
        <v>0</v>
      </c>
      <c r="H282" s="33">
        <v>369</v>
      </c>
      <c r="I282" s="44">
        <f>'3-Digit Lotto Table'!G374</f>
        <v>0</v>
      </c>
      <c r="J282" s="33">
        <v>469</v>
      </c>
      <c r="K282" s="46">
        <f>'3-Digit Lotto Table'!G474</f>
        <v>0</v>
      </c>
      <c r="L282" s="31">
        <v>569</v>
      </c>
      <c r="M282" s="46">
        <f>'3-Digit Lotto Table'!G574</f>
        <v>0</v>
      </c>
      <c r="N282" s="31">
        <v>669</v>
      </c>
      <c r="O282" s="46">
        <f>'3-Digit Lotto Table'!G674</f>
        <v>0</v>
      </c>
      <c r="P282" s="31">
        <v>769</v>
      </c>
      <c r="Q282" s="46">
        <f>'3-Digit Lotto Table'!G774</f>
        <v>0</v>
      </c>
      <c r="R282" s="31">
        <v>869</v>
      </c>
      <c r="S282" s="46">
        <f>'3-Digit Lotto Table'!G874</f>
        <v>0</v>
      </c>
      <c r="T282" s="36">
        <v>969</v>
      </c>
      <c r="U282" s="48">
        <f>'3-Digit Lotto Table'!G974</f>
        <v>0</v>
      </c>
    </row>
    <row r="283" spans="2:21" x14ac:dyDescent="0.3">
      <c r="B283" s="32">
        <v>70</v>
      </c>
      <c r="C283" s="44">
        <f>'3-Digit Lotto Table'!G75</f>
        <v>0</v>
      </c>
      <c r="D283" s="33">
        <v>170</v>
      </c>
      <c r="E283" s="44">
        <f>'3-Digit Lotto Table'!G175</f>
        <v>0</v>
      </c>
      <c r="F283" s="33">
        <v>270</v>
      </c>
      <c r="G283" s="44">
        <f>'3-Digit Lotto Table'!G275</f>
        <v>0</v>
      </c>
      <c r="H283" s="33">
        <v>370</v>
      </c>
      <c r="I283" s="44">
        <f>'3-Digit Lotto Table'!G375</f>
        <v>0</v>
      </c>
      <c r="J283" s="33">
        <v>470</v>
      </c>
      <c r="K283" s="46">
        <f>'3-Digit Lotto Table'!G475</f>
        <v>0</v>
      </c>
      <c r="L283" s="31">
        <v>570</v>
      </c>
      <c r="M283" s="46">
        <f>'3-Digit Lotto Table'!G575</f>
        <v>0</v>
      </c>
      <c r="N283" s="31">
        <v>670</v>
      </c>
      <c r="O283" s="46">
        <f>'3-Digit Lotto Table'!G675</f>
        <v>0</v>
      </c>
      <c r="P283" s="31">
        <v>770</v>
      </c>
      <c r="Q283" s="46">
        <f>'3-Digit Lotto Table'!G775</f>
        <v>0</v>
      </c>
      <c r="R283" s="31">
        <v>870</v>
      </c>
      <c r="S283" s="46">
        <f>'3-Digit Lotto Table'!G875</f>
        <v>0</v>
      </c>
      <c r="T283" s="36">
        <v>970</v>
      </c>
      <c r="U283" s="48">
        <f>'3-Digit Lotto Table'!G975</f>
        <v>0</v>
      </c>
    </row>
    <row r="284" spans="2:21" x14ac:dyDescent="0.3">
      <c r="B284" s="32">
        <v>71</v>
      </c>
      <c r="C284" s="44">
        <f>'3-Digit Lotto Table'!G76</f>
        <v>0</v>
      </c>
      <c r="D284" s="33">
        <v>171</v>
      </c>
      <c r="E284" s="44">
        <f>'3-Digit Lotto Table'!G176</f>
        <v>0</v>
      </c>
      <c r="F284" s="33">
        <v>271</v>
      </c>
      <c r="G284" s="44">
        <f>'3-Digit Lotto Table'!G276</f>
        <v>0</v>
      </c>
      <c r="H284" s="33">
        <v>371</v>
      </c>
      <c r="I284" s="44">
        <f>'3-Digit Lotto Table'!G376</f>
        <v>0</v>
      </c>
      <c r="J284" s="33">
        <v>471</v>
      </c>
      <c r="K284" s="46">
        <f>'3-Digit Lotto Table'!G476</f>
        <v>0</v>
      </c>
      <c r="L284" s="31">
        <v>571</v>
      </c>
      <c r="M284" s="46">
        <f>'3-Digit Lotto Table'!G576</f>
        <v>0</v>
      </c>
      <c r="N284" s="31">
        <v>671</v>
      </c>
      <c r="O284" s="46">
        <f>'3-Digit Lotto Table'!G676</f>
        <v>0</v>
      </c>
      <c r="P284" s="31">
        <v>771</v>
      </c>
      <c r="Q284" s="46">
        <f>'3-Digit Lotto Table'!G776</f>
        <v>0</v>
      </c>
      <c r="R284" s="31">
        <v>871</v>
      </c>
      <c r="S284" s="46">
        <f>'3-Digit Lotto Table'!G876</f>
        <v>0</v>
      </c>
      <c r="T284" s="36">
        <v>971</v>
      </c>
      <c r="U284" s="48">
        <f>'3-Digit Lotto Table'!G976</f>
        <v>0</v>
      </c>
    </row>
    <row r="285" spans="2:21" x14ac:dyDescent="0.3">
      <c r="B285" s="32">
        <v>72</v>
      </c>
      <c r="C285" s="44">
        <f>'3-Digit Lotto Table'!G77</f>
        <v>0</v>
      </c>
      <c r="D285" s="33">
        <v>172</v>
      </c>
      <c r="E285" s="44">
        <f>'3-Digit Lotto Table'!G177</f>
        <v>0</v>
      </c>
      <c r="F285" s="33">
        <v>272</v>
      </c>
      <c r="G285" s="44">
        <f>'3-Digit Lotto Table'!G277</f>
        <v>0</v>
      </c>
      <c r="H285" s="33">
        <v>372</v>
      </c>
      <c r="I285" s="44">
        <f>'3-Digit Lotto Table'!G377</f>
        <v>0</v>
      </c>
      <c r="J285" s="33">
        <v>472</v>
      </c>
      <c r="K285" s="46">
        <f>'3-Digit Lotto Table'!G477</f>
        <v>0</v>
      </c>
      <c r="L285" s="31">
        <v>572</v>
      </c>
      <c r="M285" s="46">
        <f>'3-Digit Lotto Table'!G577</f>
        <v>0</v>
      </c>
      <c r="N285" s="31">
        <v>672</v>
      </c>
      <c r="O285" s="46">
        <f>'3-Digit Lotto Table'!G677</f>
        <v>0</v>
      </c>
      <c r="P285" s="31">
        <v>772</v>
      </c>
      <c r="Q285" s="46">
        <f>'3-Digit Lotto Table'!G777</f>
        <v>0</v>
      </c>
      <c r="R285" s="31">
        <v>872</v>
      </c>
      <c r="S285" s="46">
        <f>'3-Digit Lotto Table'!G877</f>
        <v>0</v>
      </c>
      <c r="T285" s="36">
        <v>972</v>
      </c>
      <c r="U285" s="48">
        <f>'3-Digit Lotto Table'!G977</f>
        <v>0</v>
      </c>
    </row>
    <row r="286" spans="2:21" x14ac:dyDescent="0.3">
      <c r="B286" s="32">
        <v>73</v>
      </c>
      <c r="C286" s="44">
        <f>'3-Digit Lotto Table'!G78</f>
        <v>0</v>
      </c>
      <c r="D286" s="33">
        <v>173</v>
      </c>
      <c r="E286" s="44">
        <f>'3-Digit Lotto Table'!G178</f>
        <v>0</v>
      </c>
      <c r="F286" s="33">
        <v>273</v>
      </c>
      <c r="G286" s="44">
        <f>'3-Digit Lotto Table'!G278</f>
        <v>0</v>
      </c>
      <c r="H286" s="33">
        <v>373</v>
      </c>
      <c r="I286" s="44">
        <f>'3-Digit Lotto Table'!G378</f>
        <v>0</v>
      </c>
      <c r="J286" s="33">
        <v>473</v>
      </c>
      <c r="K286" s="46">
        <f>'3-Digit Lotto Table'!G478</f>
        <v>0</v>
      </c>
      <c r="L286" s="31">
        <v>573</v>
      </c>
      <c r="M286" s="46">
        <f>'3-Digit Lotto Table'!G578</f>
        <v>0</v>
      </c>
      <c r="N286" s="31">
        <v>673</v>
      </c>
      <c r="O286" s="46">
        <f>'3-Digit Lotto Table'!G678</f>
        <v>100</v>
      </c>
      <c r="P286" s="31">
        <v>773</v>
      </c>
      <c r="Q286" s="46">
        <f>'3-Digit Lotto Table'!G778</f>
        <v>0</v>
      </c>
      <c r="R286" s="31">
        <v>873</v>
      </c>
      <c r="S286" s="46">
        <f>'3-Digit Lotto Table'!G878</f>
        <v>0</v>
      </c>
      <c r="T286" s="36">
        <v>973</v>
      </c>
      <c r="U286" s="48">
        <f>'3-Digit Lotto Table'!G978</f>
        <v>100</v>
      </c>
    </row>
    <row r="287" spans="2:21" x14ac:dyDescent="0.3">
      <c r="B287" s="32">
        <v>74</v>
      </c>
      <c r="C287" s="44">
        <f>'3-Digit Lotto Table'!G79</f>
        <v>0</v>
      </c>
      <c r="D287" s="33">
        <v>174</v>
      </c>
      <c r="E287" s="44">
        <f>'3-Digit Lotto Table'!G179</f>
        <v>0</v>
      </c>
      <c r="F287" s="33">
        <v>274</v>
      </c>
      <c r="G287" s="44">
        <f>'3-Digit Lotto Table'!G279</f>
        <v>0</v>
      </c>
      <c r="H287" s="33">
        <v>374</v>
      </c>
      <c r="I287" s="44">
        <f>'3-Digit Lotto Table'!G379</f>
        <v>0</v>
      </c>
      <c r="J287" s="33">
        <v>474</v>
      </c>
      <c r="K287" s="46">
        <f>'3-Digit Lotto Table'!G479</f>
        <v>0</v>
      </c>
      <c r="L287" s="31">
        <v>574</v>
      </c>
      <c r="M287" s="46">
        <f>'3-Digit Lotto Table'!G579</f>
        <v>0</v>
      </c>
      <c r="N287" s="31">
        <v>674</v>
      </c>
      <c r="O287" s="46">
        <f>'3-Digit Lotto Table'!G679</f>
        <v>0</v>
      </c>
      <c r="P287" s="31">
        <v>774</v>
      </c>
      <c r="Q287" s="46">
        <f>'3-Digit Lotto Table'!G779</f>
        <v>0</v>
      </c>
      <c r="R287" s="31">
        <v>874</v>
      </c>
      <c r="S287" s="46">
        <f>'3-Digit Lotto Table'!G879</f>
        <v>0</v>
      </c>
      <c r="T287" s="36">
        <v>974</v>
      </c>
      <c r="U287" s="48">
        <f>'3-Digit Lotto Table'!G979</f>
        <v>0</v>
      </c>
    </row>
    <row r="288" spans="2:21" x14ac:dyDescent="0.3">
      <c r="B288" s="32">
        <v>75</v>
      </c>
      <c r="C288" s="44">
        <f>'3-Digit Lotto Table'!G80</f>
        <v>0</v>
      </c>
      <c r="D288" s="33">
        <v>175</v>
      </c>
      <c r="E288" s="44">
        <f>'3-Digit Lotto Table'!G180</f>
        <v>0</v>
      </c>
      <c r="F288" s="33">
        <v>275</v>
      </c>
      <c r="G288" s="44">
        <f>'3-Digit Lotto Table'!G280</f>
        <v>0</v>
      </c>
      <c r="H288" s="33">
        <v>375</v>
      </c>
      <c r="I288" s="44">
        <f>'3-Digit Lotto Table'!G380</f>
        <v>0</v>
      </c>
      <c r="J288" s="33">
        <v>475</v>
      </c>
      <c r="K288" s="46">
        <f>'3-Digit Lotto Table'!G480</f>
        <v>0</v>
      </c>
      <c r="L288" s="31">
        <v>575</v>
      </c>
      <c r="M288" s="46">
        <f>'3-Digit Lotto Table'!G580</f>
        <v>0</v>
      </c>
      <c r="N288" s="31">
        <v>675</v>
      </c>
      <c r="O288" s="46">
        <f>'3-Digit Lotto Table'!G680</f>
        <v>0</v>
      </c>
      <c r="P288" s="31">
        <v>775</v>
      </c>
      <c r="Q288" s="46">
        <f>'3-Digit Lotto Table'!G780</f>
        <v>0</v>
      </c>
      <c r="R288" s="31">
        <v>875</v>
      </c>
      <c r="S288" s="46">
        <f>'3-Digit Lotto Table'!G880</f>
        <v>0</v>
      </c>
      <c r="T288" s="36">
        <v>975</v>
      </c>
      <c r="U288" s="48">
        <f>'3-Digit Lotto Table'!G980</f>
        <v>0</v>
      </c>
    </row>
    <row r="289" spans="2:21" x14ac:dyDescent="0.3">
      <c r="B289" s="32">
        <v>76</v>
      </c>
      <c r="C289" s="44">
        <f>'3-Digit Lotto Table'!G81</f>
        <v>0</v>
      </c>
      <c r="D289" s="33">
        <v>176</v>
      </c>
      <c r="E289" s="44">
        <f>'3-Digit Lotto Table'!G181</f>
        <v>0</v>
      </c>
      <c r="F289" s="33">
        <v>276</v>
      </c>
      <c r="G289" s="44">
        <f>'3-Digit Lotto Table'!G281</f>
        <v>0</v>
      </c>
      <c r="H289" s="33">
        <v>376</v>
      </c>
      <c r="I289" s="44">
        <f>'3-Digit Lotto Table'!G381</f>
        <v>100</v>
      </c>
      <c r="J289" s="33">
        <v>476</v>
      </c>
      <c r="K289" s="46">
        <f>'3-Digit Lotto Table'!G481</f>
        <v>0</v>
      </c>
      <c r="L289" s="31">
        <v>576</v>
      </c>
      <c r="M289" s="46">
        <f>'3-Digit Lotto Table'!G581</f>
        <v>0</v>
      </c>
      <c r="N289" s="31">
        <v>676</v>
      </c>
      <c r="O289" s="46">
        <f>'3-Digit Lotto Table'!G681</f>
        <v>0</v>
      </c>
      <c r="P289" s="31">
        <v>776</v>
      </c>
      <c r="Q289" s="46">
        <f>'3-Digit Lotto Table'!G781</f>
        <v>0</v>
      </c>
      <c r="R289" s="31">
        <v>876</v>
      </c>
      <c r="S289" s="46">
        <f>'3-Digit Lotto Table'!G881</f>
        <v>0</v>
      </c>
      <c r="T289" s="36">
        <v>976</v>
      </c>
      <c r="U289" s="48">
        <f>'3-Digit Lotto Table'!G981</f>
        <v>0</v>
      </c>
    </row>
    <row r="290" spans="2:21" x14ac:dyDescent="0.3">
      <c r="B290" s="32">
        <v>77</v>
      </c>
      <c r="C290" s="44">
        <f>'3-Digit Lotto Table'!G82</f>
        <v>0</v>
      </c>
      <c r="D290" s="33">
        <v>177</v>
      </c>
      <c r="E290" s="44">
        <f>'3-Digit Lotto Table'!G182</f>
        <v>0</v>
      </c>
      <c r="F290" s="33">
        <v>277</v>
      </c>
      <c r="G290" s="44">
        <f>'3-Digit Lotto Table'!G282</f>
        <v>0</v>
      </c>
      <c r="H290" s="33">
        <v>377</v>
      </c>
      <c r="I290" s="44">
        <f>'3-Digit Lotto Table'!G382</f>
        <v>0</v>
      </c>
      <c r="J290" s="33">
        <v>477</v>
      </c>
      <c r="K290" s="46">
        <f>'3-Digit Lotto Table'!G482</f>
        <v>0</v>
      </c>
      <c r="L290" s="31">
        <v>577</v>
      </c>
      <c r="M290" s="46">
        <f>'3-Digit Lotto Table'!G582</f>
        <v>0</v>
      </c>
      <c r="N290" s="31">
        <v>677</v>
      </c>
      <c r="O290" s="46">
        <f>'3-Digit Lotto Table'!G682</f>
        <v>0</v>
      </c>
      <c r="P290" s="31">
        <v>777</v>
      </c>
      <c r="Q290" s="46">
        <f>'3-Digit Lotto Table'!G782</f>
        <v>0</v>
      </c>
      <c r="R290" s="31">
        <v>877</v>
      </c>
      <c r="S290" s="46">
        <f>'3-Digit Lotto Table'!G882</f>
        <v>0</v>
      </c>
      <c r="T290" s="36">
        <v>977</v>
      </c>
      <c r="U290" s="48">
        <f>'3-Digit Lotto Table'!G982</f>
        <v>0</v>
      </c>
    </row>
    <row r="291" spans="2:21" x14ac:dyDescent="0.3">
      <c r="B291" s="32">
        <v>78</v>
      </c>
      <c r="C291" s="44">
        <f>'3-Digit Lotto Table'!G83</f>
        <v>0</v>
      </c>
      <c r="D291" s="33">
        <v>178</v>
      </c>
      <c r="E291" s="44">
        <f>'3-Digit Lotto Table'!G183</f>
        <v>0</v>
      </c>
      <c r="F291" s="33">
        <v>278</v>
      </c>
      <c r="G291" s="44">
        <f>'3-Digit Lotto Table'!G283</f>
        <v>0</v>
      </c>
      <c r="H291" s="33">
        <v>378</v>
      </c>
      <c r="I291" s="44">
        <f>'3-Digit Lotto Table'!G383</f>
        <v>0</v>
      </c>
      <c r="J291" s="33">
        <v>478</v>
      </c>
      <c r="K291" s="46">
        <f>'3-Digit Lotto Table'!G483</f>
        <v>0</v>
      </c>
      <c r="L291" s="31">
        <v>578</v>
      </c>
      <c r="M291" s="46">
        <f>'3-Digit Lotto Table'!G583</f>
        <v>0</v>
      </c>
      <c r="N291" s="31">
        <v>678</v>
      </c>
      <c r="O291" s="46">
        <f>'3-Digit Lotto Table'!G683</f>
        <v>0</v>
      </c>
      <c r="P291" s="31">
        <v>778</v>
      </c>
      <c r="Q291" s="46">
        <f>'3-Digit Lotto Table'!G783</f>
        <v>0</v>
      </c>
      <c r="R291" s="31">
        <v>878</v>
      </c>
      <c r="S291" s="46">
        <f>'3-Digit Lotto Table'!G883</f>
        <v>0</v>
      </c>
      <c r="T291" s="36">
        <v>978</v>
      </c>
      <c r="U291" s="48">
        <f>'3-Digit Lotto Table'!G983</f>
        <v>0</v>
      </c>
    </row>
    <row r="292" spans="2:21" x14ac:dyDescent="0.3">
      <c r="B292" s="32">
        <v>79</v>
      </c>
      <c r="C292" s="44">
        <f>'3-Digit Lotto Table'!G84</f>
        <v>0</v>
      </c>
      <c r="D292" s="33">
        <v>179</v>
      </c>
      <c r="E292" s="44">
        <f>'3-Digit Lotto Table'!G184</f>
        <v>0</v>
      </c>
      <c r="F292" s="33">
        <v>279</v>
      </c>
      <c r="G292" s="44">
        <f>'3-Digit Lotto Table'!G284</f>
        <v>0</v>
      </c>
      <c r="H292" s="33">
        <v>379</v>
      </c>
      <c r="I292" s="44">
        <f>'3-Digit Lotto Table'!G384</f>
        <v>100</v>
      </c>
      <c r="J292" s="33">
        <v>479</v>
      </c>
      <c r="K292" s="46">
        <f>'3-Digit Lotto Table'!G484</f>
        <v>0</v>
      </c>
      <c r="L292" s="31">
        <v>579</v>
      </c>
      <c r="M292" s="46">
        <f>'3-Digit Lotto Table'!G584</f>
        <v>0</v>
      </c>
      <c r="N292" s="31">
        <v>679</v>
      </c>
      <c r="O292" s="46">
        <f>'3-Digit Lotto Table'!G684</f>
        <v>0</v>
      </c>
      <c r="P292" s="31">
        <v>779</v>
      </c>
      <c r="Q292" s="46">
        <f>'3-Digit Lotto Table'!G784</f>
        <v>0</v>
      </c>
      <c r="R292" s="31">
        <v>879</v>
      </c>
      <c r="S292" s="46">
        <f>'3-Digit Lotto Table'!G884</f>
        <v>0</v>
      </c>
      <c r="T292" s="36">
        <v>979</v>
      </c>
      <c r="U292" s="48">
        <f>'3-Digit Lotto Table'!G984</f>
        <v>0</v>
      </c>
    </row>
    <row r="293" spans="2:21" x14ac:dyDescent="0.3">
      <c r="B293" s="32">
        <v>80</v>
      </c>
      <c r="C293" s="44">
        <f>'3-Digit Lotto Table'!G85</f>
        <v>0</v>
      </c>
      <c r="D293" s="33">
        <v>180</v>
      </c>
      <c r="E293" s="44">
        <f>'3-Digit Lotto Table'!G185</f>
        <v>0</v>
      </c>
      <c r="F293" s="33">
        <v>280</v>
      </c>
      <c r="G293" s="44">
        <f>'3-Digit Lotto Table'!G285</f>
        <v>0</v>
      </c>
      <c r="H293" s="33">
        <v>380</v>
      </c>
      <c r="I293" s="44">
        <f>'3-Digit Lotto Table'!G385</f>
        <v>0</v>
      </c>
      <c r="J293" s="33">
        <v>480</v>
      </c>
      <c r="K293" s="46">
        <f>'3-Digit Lotto Table'!G485</f>
        <v>0</v>
      </c>
      <c r="L293" s="31">
        <v>580</v>
      </c>
      <c r="M293" s="46">
        <f>'3-Digit Lotto Table'!G585</f>
        <v>0</v>
      </c>
      <c r="N293" s="31">
        <v>680</v>
      </c>
      <c r="O293" s="46">
        <f>'3-Digit Lotto Table'!G685</f>
        <v>0</v>
      </c>
      <c r="P293" s="31">
        <v>780</v>
      </c>
      <c r="Q293" s="46">
        <f>'3-Digit Lotto Table'!G785</f>
        <v>0</v>
      </c>
      <c r="R293" s="31">
        <v>880</v>
      </c>
      <c r="S293" s="46">
        <f>'3-Digit Lotto Table'!G885</f>
        <v>0</v>
      </c>
      <c r="T293" s="36">
        <v>980</v>
      </c>
      <c r="U293" s="48">
        <f>'3-Digit Lotto Table'!G985</f>
        <v>0</v>
      </c>
    </row>
    <row r="294" spans="2:21" x14ac:dyDescent="0.3">
      <c r="B294" s="32">
        <v>81</v>
      </c>
      <c r="C294" s="44">
        <f>'3-Digit Lotto Table'!G86</f>
        <v>0</v>
      </c>
      <c r="D294" s="33">
        <v>181</v>
      </c>
      <c r="E294" s="44">
        <f>'3-Digit Lotto Table'!G186</f>
        <v>50</v>
      </c>
      <c r="F294" s="33">
        <v>281</v>
      </c>
      <c r="G294" s="44">
        <f>'3-Digit Lotto Table'!G286</f>
        <v>0</v>
      </c>
      <c r="H294" s="33">
        <v>381</v>
      </c>
      <c r="I294" s="44">
        <f>'3-Digit Lotto Table'!G386</f>
        <v>0</v>
      </c>
      <c r="J294" s="33">
        <v>481</v>
      </c>
      <c r="K294" s="46">
        <f>'3-Digit Lotto Table'!G486</f>
        <v>0</v>
      </c>
      <c r="L294" s="31">
        <v>581</v>
      </c>
      <c r="M294" s="46">
        <f>'3-Digit Lotto Table'!G586</f>
        <v>0</v>
      </c>
      <c r="N294" s="31">
        <v>681</v>
      </c>
      <c r="O294" s="46">
        <f>'3-Digit Lotto Table'!G686</f>
        <v>0</v>
      </c>
      <c r="P294" s="31">
        <v>781</v>
      </c>
      <c r="Q294" s="46">
        <f>'3-Digit Lotto Table'!G786</f>
        <v>0</v>
      </c>
      <c r="R294" s="31">
        <v>881</v>
      </c>
      <c r="S294" s="46">
        <f>'3-Digit Lotto Table'!G886</f>
        <v>0</v>
      </c>
      <c r="T294" s="36">
        <v>981</v>
      </c>
      <c r="U294" s="48">
        <f>'3-Digit Lotto Table'!G986</f>
        <v>0</v>
      </c>
    </row>
    <row r="295" spans="2:21" x14ac:dyDescent="0.3">
      <c r="B295" s="32">
        <v>82</v>
      </c>
      <c r="C295" s="44">
        <f>'3-Digit Lotto Table'!G87</f>
        <v>0</v>
      </c>
      <c r="D295" s="33">
        <v>182</v>
      </c>
      <c r="E295" s="44">
        <f>'3-Digit Lotto Table'!G187</f>
        <v>0</v>
      </c>
      <c r="F295" s="33">
        <v>282</v>
      </c>
      <c r="G295" s="44">
        <f>'3-Digit Lotto Table'!G287</f>
        <v>0</v>
      </c>
      <c r="H295" s="33">
        <v>382</v>
      </c>
      <c r="I295" s="44">
        <f>'3-Digit Lotto Table'!G387</f>
        <v>0</v>
      </c>
      <c r="J295" s="33">
        <v>482</v>
      </c>
      <c r="K295" s="46">
        <f>'3-Digit Lotto Table'!G487</f>
        <v>0</v>
      </c>
      <c r="L295" s="31">
        <v>582</v>
      </c>
      <c r="M295" s="46">
        <f>'3-Digit Lotto Table'!G587</f>
        <v>0</v>
      </c>
      <c r="N295" s="31">
        <v>682</v>
      </c>
      <c r="O295" s="46">
        <f>'3-Digit Lotto Table'!G687</f>
        <v>0</v>
      </c>
      <c r="P295" s="31">
        <v>782</v>
      </c>
      <c r="Q295" s="46">
        <f>'3-Digit Lotto Table'!G787</f>
        <v>0</v>
      </c>
      <c r="R295" s="31">
        <v>882</v>
      </c>
      <c r="S295" s="46">
        <f>'3-Digit Lotto Table'!G887</f>
        <v>0</v>
      </c>
      <c r="T295" s="36">
        <v>982</v>
      </c>
      <c r="U295" s="48">
        <f>'3-Digit Lotto Table'!G987</f>
        <v>0</v>
      </c>
    </row>
    <row r="296" spans="2:21" x14ac:dyDescent="0.3">
      <c r="B296" s="32">
        <v>83</v>
      </c>
      <c r="C296" s="44">
        <f>'3-Digit Lotto Table'!G88</f>
        <v>0</v>
      </c>
      <c r="D296" s="33">
        <v>183</v>
      </c>
      <c r="E296" s="44">
        <f>'3-Digit Lotto Table'!G188</f>
        <v>0</v>
      </c>
      <c r="F296" s="33">
        <v>283</v>
      </c>
      <c r="G296" s="44">
        <f>'3-Digit Lotto Table'!G288</f>
        <v>0</v>
      </c>
      <c r="H296" s="33">
        <v>383</v>
      </c>
      <c r="I296" s="44">
        <f>'3-Digit Lotto Table'!G388</f>
        <v>0</v>
      </c>
      <c r="J296" s="33">
        <v>483</v>
      </c>
      <c r="K296" s="46">
        <f>'3-Digit Lotto Table'!G488</f>
        <v>0</v>
      </c>
      <c r="L296" s="31">
        <v>583</v>
      </c>
      <c r="M296" s="46">
        <f>'3-Digit Lotto Table'!G588</f>
        <v>0</v>
      </c>
      <c r="N296" s="31">
        <v>683</v>
      </c>
      <c r="O296" s="46">
        <f>'3-Digit Lotto Table'!G688</f>
        <v>0</v>
      </c>
      <c r="P296" s="31">
        <v>783</v>
      </c>
      <c r="Q296" s="46">
        <f>'3-Digit Lotto Table'!G788</f>
        <v>0</v>
      </c>
      <c r="R296" s="31">
        <v>883</v>
      </c>
      <c r="S296" s="46">
        <f>'3-Digit Lotto Table'!G888</f>
        <v>0</v>
      </c>
      <c r="T296" s="36">
        <v>983</v>
      </c>
      <c r="U296" s="48">
        <f>'3-Digit Lotto Table'!G988</f>
        <v>0</v>
      </c>
    </row>
    <row r="297" spans="2:21" x14ac:dyDescent="0.3">
      <c r="B297" s="32">
        <v>84</v>
      </c>
      <c r="C297" s="44">
        <f>'3-Digit Lotto Table'!G89</f>
        <v>0</v>
      </c>
      <c r="D297" s="33">
        <v>184</v>
      </c>
      <c r="E297" s="44">
        <f>'3-Digit Lotto Table'!G189</f>
        <v>0</v>
      </c>
      <c r="F297" s="33">
        <v>284</v>
      </c>
      <c r="G297" s="44">
        <f>'3-Digit Lotto Table'!G289</f>
        <v>0</v>
      </c>
      <c r="H297" s="33">
        <v>384</v>
      </c>
      <c r="I297" s="44">
        <f>'3-Digit Lotto Table'!G389</f>
        <v>0</v>
      </c>
      <c r="J297" s="33">
        <v>484</v>
      </c>
      <c r="K297" s="46">
        <f>'3-Digit Lotto Table'!G489</f>
        <v>0</v>
      </c>
      <c r="L297" s="31">
        <v>584</v>
      </c>
      <c r="M297" s="46">
        <f>'3-Digit Lotto Table'!G589</f>
        <v>0</v>
      </c>
      <c r="N297" s="31">
        <v>684</v>
      </c>
      <c r="O297" s="46">
        <f>'3-Digit Lotto Table'!G689</f>
        <v>0</v>
      </c>
      <c r="P297" s="31">
        <v>784</v>
      </c>
      <c r="Q297" s="46">
        <f>'3-Digit Lotto Table'!G789</f>
        <v>0</v>
      </c>
      <c r="R297" s="31">
        <v>884</v>
      </c>
      <c r="S297" s="46">
        <f>'3-Digit Lotto Table'!G889</f>
        <v>0</v>
      </c>
      <c r="T297" s="36">
        <v>984</v>
      </c>
      <c r="U297" s="48">
        <f>'3-Digit Lotto Table'!G989</f>
        <v>50</v>
      </c>
    </row>
    <row r="298" spans="2:21" x14ac:dyDescent="0.3">
      <c r="B298" s="32">
        <v>85</v>
      </c>
      <c r="C298" s="44">
        <f>'3-Digit Lotto Table'!G90</f>
        <v>0</v>
      </c>
      <c r="D298" s="33">
        <v>185</v>
      </c>
      <c r="E298" s="44">
        <f>'3-Digit Lotto Table'!G190</f>
        <v>0</v>
      </c>
      <c r="F298" s="33">
        <v>285</v>
      </c>
      <c r="G298" s="44">
        <f>'3-Digit Lotto Table'!G290</f>
        <v>0</v>
      </c>
      <c r="H298" s="33">
        <v>385</v>
      </c>
      <c r="I298" s="44">
        <f>'3-Digit Lotto Table'!G390</f>
        <v>0</v>
      </c>
      <c r="J298" s="33">
        <v>485</v>
      </c>
      <c r="K298" s="46">
        <f>'3-Digit Lotto Table'!G490</f>
        <v>0</v>
      </c>
      <c r="L298" s="31">
        <v>585</v>
      </c>
      <c r="M298" s="46">
        <f>'3-Digit Lotto Table'!G590</f>
        <v>0</v>
      </c>
      <c r="N298" s="31">
        <v>685</v>
      </c>
      <c r="O298" s="46">
        <f>'3-Digit Lotto Table'!G690</f>
        <v>0</v>
      </c>
      <c r="P298" s="31">
        <v>785</v>
      </c>
      <c r="Q298" s="46">
        <f>'3-Digit Lotto Table'!G790</f>
        <v>0</v>
      </c>
      <c r="R298" s="31">
        <v>885</v>
      </c>
      <c r="S298" s="46">
        <f>'3-Digit Lotto Table'!G890</f>
        <v>0</v>
      </c>
      <c r="T298" s="36">
        <v>985</v>
      </c>
      <c r="U298" s="48">
        <f>'3-Digit Lotto Table'!G990</f>
        <v>0</v>
      </c>
    </row>
    <row r="299" spans="2:21" x14ac:dyDescent="0.3">
      <c r="B299" s="32">
        <v>86</v>
      </c>
      <c r="C299" s="44">
        <f>'3-Digit Lotto Table'!G91</f>
        <v>0</v>
      </c>
      <c r="D299" s="33">
        <v>186</v>
      </c>
      <c r="E299" s="44">
        <f>'3-Digit Lotto Table'!G191</f>
        <v>0</v>
      </c>
      <c r="F299" s="33">
        <v>286</v>
      </c>
      <c r="G299" s="44">
        <f>'3-Digit Lotto Table'!G291</f>
        <v>0</v>
      </c>
      <c r="H299" s="33">
        <v>386</v>
      </c>
      <c r="I299" s="44">
        <f>'3-Digit Lotto Table'!G391</f>
        <v>0</v>
      </c>
      <c r="J299" s="33">
        <v>486</v>
      </c>
      <c r="K299" s="46">
        <f>'3-Digit Lotto Table'!G491</f>
        <v>0</v>
      </c>
      <c r="L299" s="31">
        <v>586</v>
      </c>
      <c r="M299" s="46">
        <f>'3-Digit Lotto Table'!G591</f>
        <v>0</v>
      </c>
      <c r="N299" s="31">
        <v>686</v>
      </c>
      <c r="O299" s="46">
        <f>'3-Digit Lotto Table'!G691</f>
        <v>0</v>
      </c>
      <c r="P299" s="31">
        <v>786</v>
      </c>
      <c r="Q299" s="46">
        <f>'3-Digit Lotto Table'!G791</f>
        <v>0</v>
      </c>
      <c r="R299" s="31">
        <v>886</v>
      </c>
      <c r="S299" s="46">
        <f>'3-Digit Lotto Table'!G891</f>
        <v>0</v>
      </c>
      <c r="T299" s="36">
        <v>986</v>
      </c>
      <c r="U299" s="48">
        <f>'3-Digit Lotto Table'!G991</f>
        <v>0</v>
      </c>
    </row>
    <row r="300" spans="2:21" x14ac:dyDescent="0.3">
      <c r="B300" s="32">
        <v>87</v>
      </c>
      <c r="C300" s="44">
        <f>'3-Digit Lotto Table'!G92</f>
        <v>0</v>
      </c>
      <c r="D300" s="33">
        <v>187</v>
      </c>
      <c r="E300" s="44">
        <f>'3-Digit Lotto Table'!G192</f>
        <v>0</v>
      </c>
      <c r="F300" s="33">
        <v>287</v>
      </c>
      <c r="G300" s="44">
        <f>'3-Digit Lotto Table'!G292</f>
        <v>0</v>
      </c>
      <c r="H300" s="33">
        <v>387</v>
      </c>
      <c r="I300" s="44">
        <f>'3-Digit Lotto Table'!G392</f>
        <v>0</v>
      </c>
      <c r="J300" s="33">
        <v>487</v>
      </c>
      <c r="K300" s="46">
        <f>'3-Digit Lotto Table'!G492</f>
        <v>0</v>
      </c>
      <c r="L300" s="31">
        <v>587</v>
      </c>
      <c r="M300" s="46">
        <f>'3-Digit Lotto Table'!G592</f>
        <v>0</v>
      </c>
      <c r="N300" s="31">
        <v>687</v>
      </c>
      <c r="O300" s="46">
        <f>'3-Digit Lotto Table'!G692</f>
        <v>0</v>
      </c>
      <c r="P300" s="31">
        <v>787</v>
      </c>
      <c r="Q300" s="46">
        <f>'3-Digit Lotto Table'!G792</f>
        <v>0</v>
      </c>
      <c r="R300" s="31">
        <v>887</v>
      </c>
      <c r="S300" s="46">
        <f>'3-Digit Lotto Table'!G892</f>
        <v>0</v>
      </c>
      <c r="T300" s="36">
        <v>987</v>
      </c>
      <c r="U300" s="48">
        <f>'3-Digit Lotto Table'!G992</f>
        <v>0</v>
      </c>
    </row>
    <row r="301" spans="2:21" x14ac:dyDescent="0.3">
      <c r="B301" s="32">
        <v>88</v>
      </c>
      <c r="C301" s="44">
        <f>'3-Digit Lotto Table'!G93</f>
        <v>0</v>
      </c>
      <c r="D301" s="33">
        <v>188</v>
      </c>
      <c r="E301" s="44">
        <f>'3-Digit Lotto Table'!G193</f>
        <v>0</v>
      </c>
      <c r="F301" s="33">
        <v>288</v>
      </c>
      <c r="G301" s="44">
        <f>'3-Digit Lotto Table'!G293</f>
        <v>0</v>
      </c>
      <c r="H301" s="33">
        <v>388</v>
      </c>
      <c r="I301" s="44">
        <f>'3-Digit Lotto Table'!G393</f>
        <v>0</v>
      </c>
      <c r="J301" s="33">
        <v>488</v>
      </c>
      <c r="K301" s="46">
        <f>'3-Digit Lotto Table'!G493</f>
        <v>0</v>
      </c>
      <c r="L301" s="31">
        <v>588</v>
      </c>
      <c r="M301" s="46">
        <f>'3-Digit Lotto Table'!G593</f>
        <v>0</v>
      </c>
      <c r="N301" s="31">
        <v>688</v>
      </c>
      <c r="O301" s="46">
        <f>'3-Digit Lotto Table'!G693</f>
        <v>0</v>
      </c>
      <c r="P301" s="31">
        <v>788</v>
      </c>
      <c r="Q301" s="46">
        <f>'3-Digit Lotto Table'!G793</f>
        <v>0</v>
      </c>
      <c r="R301" s="31">
        <v>888</v>
      </c>
      <c r="S301" s="46">
        <f>'3-Digit Lotto Table'!G893</f>
        <v>0</v>
      </c>
      <c r="T301" s="36">
        <v>988</v>
      </c>
      <c r="U301" s="48">
        <f>'3-Digit Lotto Table'!G993</f>
        <v>0</v>
      </c>
    </row>
    <row r="302" spans="2:21" x14ac:dyDescent="0.3">
      <c r="B302" s="32">
        <v>89</v>
      </c>
      <c r="C302" s="44">
        <f>'3-Digit Lotto Table'!G94</f>
        <v>0</v>
      </c>
      <c r="D302" s="33">
        <v>189</v>
      </c>
      <c r="E302" s="44">
        <f>'3-Digit Lotto Table'!G194</f>
        <v>0</v>
      </c>
      <c r="F302" s="33">
        <v>289</v>
      </c>
      <c r="G302" s="44">
        <f>'3-Digit Lotto Table'!G294</f>
        <v>20</v>
      </c>
      <c r="H302" s="33">
        <v>389</v>
      </c>
      <c r="I302" s="44">
        <f>'3-Digit Lotto Table'!G394</f>
        <v>0</v>
      </c>
      <c r="J302" s="33">
        <v>489</v>
      </c>
      <c r="K302" s="46">
        <f>'3-Digit Lotto Table'!G494</f>
        <v>0</v>
      </c>
      <c r="L302" s="31">
        <v>589</v>
      </c>
      <c r="M302" s="46">
        <f>'3-Digit Lotto Table'!G594</f>
        <v>0</v>
      </c>
      <c r="N302" s="31">
        <v>689</v>
      </c>
      <c r="O302" s="46">
        <f>'3-Digit Lotto Table'!G694</f>
        <v>0</v>
      </c>
      <c r="P302" s="31">
        <v>789</v>
      </c>
      <c r="Q302" s="46">
        <f>'3-Digit Lotto Table'!G794</f>
        <v>0</v>
      </c>
      <c r="R302" s="31">
        <v>889</v>
      </c>
      <c r="S302" s="46">
        <f>'3-Digit Lotto Table'!G894</f>
        <v>0</v>
      </c>
      <c r="T302" s="36">
        <v>989</v>
      </c>
      <c r="U302" s="48">
        <f>'3-Digit Lotto Table'!G994</f>
        <v>0</v>
      </c>
    </row>
    <row r="303" spans="2:21" x14ac:dyDescent="0.3">
      <c r="B303" s="32">
        <v>90</v>
      </c>
      <c r="C303" s="44">
        <f>'3-Digit Lotto Table'!G95</f>
        <v>50</v>
      </c>
      <c r="D303" s="33">
        <v>190</v>
      </c>
      <c r="E303" s="44">
        <f>'3-Digit Lotto Table'!G195</f>
        <v>0</v>
      </c>
      <c r="F303" s="33">
        <v>290</v>
      </c>
      <c r="G303" s="44">
        <f>'3-Digit Lotto Table'!G295</f>
        <v>0</v>
      </c>
      <c r="H303" s="33">
        <v>390</v>
      </c>
      <c r="I303" s="44">
        <f>'3-Digit Lotto Table'!G395</f>
        <v>0</v>
      </c>
      <c r="J303" s="33">
        <v>490</v>
      </c>
      <c r="K303" s="46">
        <f>'3-Digit Lotto Table'!G495</f>
        <v>0</v>
      </c>
      <c r="L303" s="31">
        <v>590</v>
      </c>
      <c r="M303" s="46">
        <f>'3-Digit Lotto Table'!G595</f>
        <v>0</v>
      </c>
      <c r="N303" s="31">
        <v>690</v>
      </c>
      <c r="O303" s="46">
        <f>'3-Digit Lotto Table'!G695</f>
        <v>0</v>
      </c>
      <c r="P303" s="31">
        <v>790</v>
      </c>
      <c r="Q303" s="46">
        <f>'3-Digit Lotto Table'!G795</f>
        <v>0</v>
      </c>
      <c r="R303" s="31">
        <v>890</v>
      </c>
      <c r="S303" s="46">
        <f>'3-Digit Lotto Table'!G895</f>
        <v>0</v>
      </c>
      <c r="T303" s="36">
        <v>990</v>
      </c>
      <c r="U303" s="48">
        <f>'3-Digit Lotto Table'!G995</f>
        <v>0</v>
      </c>
    </row>
    <row r="304" spans="2:21" x14ac:dyDescent="0.3">
      <c r="B304" s="32">
        <v>91</v>
      </c>
      <c r="C304" s="44">
        <f>'3-Digit Lotto Table'!G96</f>
        <v>0</v>
      </c>
      <c r="D304" s="33">
        <v>191</v>
      </c>
      <c r="E304" s="44">
        <f>'3-Digit Lotto Table'!G196</f>
        <v>0</v>
      </c>
      <c r="F304" s="33">
        <v>291</v>
      </c>
      <c r="G304" s="44">
        <f>'3-Digit Lotto Table'!G296</f>
        <v>0</v>
      </c>
      <c r="H304" s="33">
        <v>391</v>
      </c>
      <c r="I304" s="44">
        <f>'3-Digit Lotto Table'!G396</f>
        <v>0</v>
      </c>
      <c r="J304" s="33">
        <v>491</v>
      </c>
      <c r="K304" s="46">
        <f>'3-Digit Lotto Table'!G496</f>
        <v>0</v>
      </c>
      <c r="L304" s="31">
        <v>591</v>
      </c>
      <c r="M304" s="46">
        <f>'3-Digit Lotto Table'!G596</f>
        <v>0</v>
      </c>
      <c r="N304" s="31">
        <v>691</v>
      </c>
      <c r="O304" s="46">
        <f>'3-Digit Lotto Table'!G696</f>
        <v>0</v>
      </c>
      <c r="P304" s="31">
        <v>791</v>
      </c>
      <c r="Q304" s="46">
        <f>'3-Digit Lotto Table'!G796</f>
        <v>0</v>
      </c>
      <c r="R304" s="31">
        <v>891</v>
      </c>
      <c r="S304" s="46">
        <f>'3-Digit Lotto Table'!G896</f>
        <v>0</v>
      </c>
      <c r="T304" s="36">
        <v>991</v>
      </c>
      <c r="U304" s="48">
        <f>'3-Digit Lotto Table'!G996</f>
        <v>0</v>
      </c>
    </row>
    <row r="305" spans="2:21" x14ac:dyDescent="0.3">
      <c r="B305" s="32">
        <v>92</v>
      </c>
      <c r="C305" s="44">
        <f>'3-Digit Lotto Table'!G97</f>
        <v>0</v>
      </c>
      <c r="D305" s="33">
        <v>192</v>
      </c>
      <c r="E305" s="44">
        <f>'3-Digit Lotto Table'!G197</f>
        <v>0</v>
      </c>
      <c r="F305" s="33">
        <v>292</v>
      </c>
      <c r="G305" s="44">
        <f>'3-Digit Lotto Table'!G297</f>
        <v>0</v>
      </c>
      <c r="H305" s="33">
        <v>392</v>
      </c>
      <c r="I305" s="44">
        <f>'3-Digit Lotto Table'!G397</f>
        <v>0</v>
      </c>
      <c r="J305" s="33">
        <v>492</v>
      </c>
      <c r="K305" s="46">
        <f>'3-Digit Lotto Table'!G497</f>
        <v>0</v>
      </c>
      <c r="L305" s="31">
        <v>592</v>
      </c>
      <c r="M305" s="46">
        <f>'3-Digit Lotto Table'!G597</f>
        <v>0</v>
      </c>
      <c r="N305" s="31">
        <v>692</v>
      </c>
      <c r="O305" s="46">
        <f>'3-Digit Lotto Table'!G697</f>
        <v>0</v>
      </c>
      <c r="P305" s="31">
        <v>792</v>
      </c>
      <c r="Q305" s="46">
        <f>'3-Digit Lotto Table'!G797</f>
        <v>0</v>
      </c>
      <c r="R305" s="31">
        <v>892</v>
      </c>
      <c r="S305" s="46">
        <f>'3-Digit Lotto Table'!G897</f>
        <v>0</v>
      </c>
      <c r="T305" s="36">
        <v>992</v>
      </c>
      <c r="U305" s="48">
        <f>'3-Digit Lotto Table'!G997</f>
        <v>0</v>
      </c>
    </row>
    <row r="306" spans="2:21" x14ac:dyDescent="0.3">
      <c r="B306" s="32">
        <v>93</v>
      </c>
      <c r="C306" s="44">
        <f>'3-Digit Lotto Table'!G98</f>
        <v>0</v>
      </c>
      <c r="D306" s="33">
        <v>193</v>
      </c>
      <c r="E306" s="44">
        <f>'3-Digit Lotto Table'!G198</f>
        <v>0</v>
      </c>
      <c r="F306" s="33">
        <v>293</v>
      </c>
      <c r="G306" s="44">
        <f>'3-Digit Lotto Table'!G298</f>
        <v>0</v>
      </c>
      <c r="H306" s="33">
        <v>393</v>
      </c>
      <c r="I306" s="44">
        <f>'3-Digit Lotto Table'!G398</f>
        <v>0</v>
      </c>
      <c r="J306" s="33">
        <v>493</v>
      </c>
      <c r="K306" s="46">
        <f>'3-Digit Lotto Table'!G498</f>
        <v>0</v>
      </c>
      <c r="L306" s="31">
        <v>593</v>
      </c>
      <c r="M306" s="46">
        <f>'3-Digit Lotto Table'!G598</f>
        <v>0</v>
      </c>
      <c r="N306" s="31">
        <v>693</v>
      </c>
      <c r="O306" s="46">
        <f>'3-Digit Lotto Table'!G698</f>
        <v>0</v>
      </c>
      <c r="P306" s="31">
        <v>793</v>
      </c>
      <c r="Q306" s="46">
        <f>'3-Digit Lotto Table'!G798</f>
        <v>100</v>
      </c>
      <c r="R306" s="31">
        <v>893</v>
      </c>
      <c r="S306" s="46">
        <f>'3-Digit Lotto Table'!G898</f>
        <v>0</v>
      </c>
      <c r="T306" s="36">
        <v>993</v>
      </c>
      <c r="U306" s="48">
        <f>'3-Digit Lotto Table'!G998</f>
        <v>0</v>
      </c>
    </row>
    <row r="307" spans="2:21" x14ac:dyDescent="0.3">
      <c r="B307" s="32">
        <v>94</v>
      </c>
      <c r="C307" s="44">
        <f>'3-Digit Lotto Table'!G99</f>
        <v>0</v>
      </c>
      <c r="D307" s="33">
        <v>194</v>
      </c>
      <c r="E307" s="44">
        <f>'3-Digit Lotto Table'!G199</f>
        <v>0</v>
      </c>
      <c r="F307" s="33">
        <v>294</v>
      </c>
      <c r="G307" s="44">
        <f>'3-Digit Lotto Table'!G299</f>
        <v>0</v>
      </c>
      <c r="H307" s="33">
        <v>394</v>
      </c>
      <c r="I307" s="44">
        <f>'3-Digit Lotto Table'!G399</f>
        <v>0</v>
      </c>
      <c r="J307" s="33">
        <v>494</v>
      </c>
      <c r="K307" s="46">
        <f>'3-Digit Lotto Table'!G499</f>
        <v>0</v>
      </c>
      <c r="L307" s="31">
        <v>594</v>
      </c>
      <c r="M307" s="46">
        <f>'3-Digit Lotto Table'!G599</f>
        <v>0</v>
      </c>
      <c r="N307" s="31">
        <v>694</v>
      </c>
      <c r="O307" s="46">
        <f>'3-Digit Lotto Table'!G699</f>
        <v>0</v>
      </c>
      <c r="P307" s="31">
        <v>794</v>
      </c>
      <c r="Q307" s="46">
        <f>'3-Digit Lotto Table'!G799</f>
        <v>0</v>
      </c>
      <c r="R307" s="31">
        <v>894</v>
      </c>
      <c r="S307" s="46">
        <f>'3-Digit Lotto Table'!G899</f>
        <v>50</v>
      </c>
      <c r="T307" s="36">
        <v>994</v>
      </c>
      <c r="U307" s="48">
        <f>'3-Digit Lotto Table'!G999</f>
        <v>0</v>
      </c>
    </row>
    <row r="308" spans="2:21" x14ac:dyDescent="0.3">
      <c r="B308" s="32">
        <v>95</v>
      </c>
      <c r="C308" s="44">
        <f>'3-Digit Lotto Table'!G100</f>
        <v>0</v>
      </c>
      <c r="D308" s="33">
        <v>195</v>
      </c>
      <c r="E308" s="44">
        <f>'3-Digit Lotto Table'!G200</f>
        <v>0</v>
      </c>
      <c r="F308" s="33">
        <v>295</v>
      </c>
      <c r="G308" s="44">
        <f>'3-Digit Lotto Table'!G300</f>
        <v>0</v>
      </c>
      <c r="H308" s="33">
        <v>395</v>
      </c>
      <c r="I308" s="44">
        <f>'3-Digit Lotto Table'!G400</f>
        <v>0</v>
      </c>
      <c r="J308" s="33">
        <v>495</v>
      </c>
      <c r="K308" s="46">
        <f>'3-Digit Lotto Table'!G500</f>
        <v>0</v>
      </c>
      <c r="L308" s="31">
        <v>595</v>
      </c>
      <c r="M308" s="46">
        <f>'3-Digit Lotto Table'!G600</f>
        <v>0</v>
      </c>
      <c r="N308" s="31">
        <v>695</v>
      </c>
      <c r="O308" s="46">
        <f>'3-Digit Lotto Table'!G700</f>
        <v>0</v>
      </c>
      <c r="P308" s="31">
        <v>795</v>
      </c>
      <c r="Q308" s="46">
        <f>'3-Digit Lotto Table'!G800</f>
        <v>0</v>
      </c>
      <c r="R308" s="31">
        <v>895</v>
      </c>
      <c r="S308" s="46">
        <f>'3-Digit Lotto Table'!G900</f>
        <v>0</v>
      </c>
      <c r="T308" s="36">
        <v>995</v>
      </c>
      <c r="U308" s="48">
        <f>'3-Digit Lotto Table'!G1000</f>
        <v>0</v>
      </c>
    </row>
    <row r="309" spans="2:21" x14ac:dyDescent="0.3">
      <c r="B309" s="32">
        <v>96</v>
      </c>
      <c r="C309" s="44">
        <f>'3-Digit Lotto Table'!G101</f>
        <v>0</v>
      </c>
      <c r="D309" s="33">
        <v>196</v>
      </c>
      <c r="E309" s="44">
        <f>'3-Digit Lotto Table'!G201</f>
        <v>0</v>
      </c>
      <c r="F309" s="33">
        <v>296</v>
      </c>
      <c r="G309" s="44">
        <f>'3-Digit Lotto Table'!G301</f>
        <v>0</v>
      </c>
      <c r="H309" s="33">
        <v>396</v>
      </c>
      <c r="I309" s="44">
        <f>'3-Digit Lotto Table'!G401</f>
        <v>0</v>
      </c>
      <c r="J309" s="33">
        <v>496</v>
      </c>
      <c r="K309" s="46">
        <f>'3-Digit Lotto Table'!G501</f>
        <v>0</v>
      </c>
      <c r="L309" s="31">
        <v>596</v>
      </c>
      <c r="M309" s="46">
        <f>'3-Digit Lotto Table'!G601</f>
        <v>0</v>
      </c>
      <c r="N309" s="31">
        <v>696</v>
      </c>
      <c r="O309" s="46">
        <f>'3-Digit Lotto Table'!G701</f>
        <v>0</v>
      </c>
      <c r="P309" s="31">
        <v>796</v>
      </c>
      <c r="Q309" s="46">
        <f>'3-Digit Lotto Table'!G801</f>
        <v>0</v>
      </c>
      <c r="R309" s="31">
        <v>896</v>
      </c>
      <c r="S309" s="46">
        <f>'3-Digit Lotto Table'!G901</f>
        <v>0</v>
      </c>
      <c r="T309" s="36">
        <v>996</v>
      </c>
      <c r="U309" s="48">
        <f>'3-Digit Lotto Table'!G1001</f>
        <v>0</v>
      </c>
    </row>
    <row r="310" spans="2:21" x14ac:dyDescent="0.3">
      <c r="B310" s="32">
        <v>97</v>
      </c>
      <c r="C310" s="44">
        <f>'3-Digit Lotto Table'!G102</f>
        <v>0</v>
      </c>
      <c r="D310" s="33">
        <v>197</v>
      </c>
      <c r="E310" s="44">
        <f>'3-Digit Lotto Table'!G202</f>
        <v>0</v>
      </c>
      <c r="F310" s="33">
        <v>297</v>
      </c>
      <c r="G310" s="44">
        <f>'3-Digit Lotto Table'!G302</f>
        <v>0</v>
      </c>
      <c r="H310" s="33">
        <v>397</v>
      </c>
      <c r="I310" s="44">
        <f>'3-Digit Lotto Table'!G402</f>
        <v>100</v>
      </c>
      <c r="J310" s="33">
        <v>497</v>
      </c>
      <c r="K310" s="46">
        <f>'3-Digit Lotto Table'!G502</f>
        <v>0</v>
      </c>
      <c r="L310" s="31">
        <v>597</v>
      </c>
      <c r="M310" s="46">
        <f>'3-Digit Lotto Table'!G602</f>
        <v>0</v>
      </c>
      <c r="N310" s="31">
        <v>697</v>
      </c>
      <c r="O310" s="46">
        <f>'3-Digit Lotto Table'!G702</f>
        <v>0</v>
      </c>
      <c r="P310" s="31">
        <v>797</v>
      </c>
      <c r="Q310" s="46">
        <f>'3-Digit Lotto Table'!G802</f>
        <v>0</v>
      </c>
      <c r="R310" s="31">
        <v>897</v>
      </c>
      <c r="S310" s="46">
        <f>'3-Digit Lotto Table'!G902</f>
        <v>0</v>
      </c>
      <c r="T310" s="36">
        <v>997</v>
      </c>
      <c r="U310" s="48">
        <f>'3-Digit Lotto Table'!G1002</f>
        <v>0</v>
      </c>
    </row>
    <row r="311" spans="2:21" x14ac:dyDescent="0.3">
      <c r="B311" s="32">
        <v>98</v>
      </c>
      <c r="C311" s="44">
        <f>'3-Digit Lotto Table'!G103</f>
        <v>0</v>
      </c>
      <c r="D311" s="33">
        <v>198</v>
      </c>
      <c r="E311" s="44">
        <f>'3-Digit Lotto Table'!G203</f>
        <v>0</v>
      </c>
      <c r="F311" s="33">
        <v>298</v>
      </c>
      <c r="G311" s="44">
        <f>'3-Digit Lotto Table'!G303</f>
        <v>0</v>
      </c>
      <c r="H311" s="33">
        <v>398</v>
      </c>
      <c r="I311" s="44">
        <f>'3-Digit Lotto Table'!G403</f>
        <v>0</v>
      </c>
      <c r="J311" s="33">
        <v>498</v>
      </c>
      <c r="K311" s="46">
        <f>'3-Digit Lotto Table'!G503</f>
        <v>0</v>
      </c>
      <c r="L311" s="31">
        <v>598</v>
      </c>
      <c r="M311" s="46">
        <f>'3-Digit Lotto Table'!G603</f>
        <v>0</v>
      </c>
      <c r="N311" s="31">
        <v>698</v>
      </c>
      <c r="O311" s="46">
        <f>'3-Digit Lotto Table'!G703</f>
        <v>0</v>
      </c>
      <c r="P311" s="31">
        <v>798</v>
      </c>
      <c r="Q311" s="46">
        <f>'3-Digit Lotto Table'!G803</f>
        <v>0</v>
      </c>
      <c r="R311" s="31">
        <v>898</v>
      </c>
      <c r="S311" s="46">
        <f>'3-Digit Lotto Table'!G903</f>
        <v>0</v>
      </c>
      <c r="T311" s="36">
        <v>998</v>
      </c>
      <c r="U311" s="48">
        <f>'3-Digit Lotto Table'!G1003</f>
        <v>0</v>
      </c>
    </row>
    <row r="312" spans="2:21" x14ac:dyDescent="0.3">
      <c r="B312" s="32">
        <v>99</v>
      </c>
      <c r="C312" s="44">
        <f>'3-Digit Lotto Table'!G104</f>
        <v>0</v>
      </c>
      <c r="D312" s="33">
        <v>199</v>
      </c>
      <c r="E312" s="44">
        <f>'3-Digit Lotto Table'!G204</f>
        <v>0</v>
      </c>
      <c r="F312" s="33">
        <v>299</v>
      </c>
      <c r="G312" s="44">
        <f>'3-Digit Lotto Table'!G304</f>
        <v>0</v>
      </c>
      <c r="H312" s="33">
        <v>399</v>
      </c>
      <c r="I312" s="44">
        <f>'3-Digit Lotto Table'!G404</f>
        <v>0</v>
      </c>
      <c r="J312" s="33">
        <v>499</v>
      </c>
      <c r="K312" s="46">
        <f>'3-Digit Lotto Table'!G504</f>
        <v>0</v>
      </c>
      <c r="L312" s="31">
        <v>599</v>
      </c>
      <c r="M312" s="46">
        <f>'3-Digit Lotto Table'!G604</f>
        <v>0</v>
      </c>
      <c r="N312" s="31">
        <v>699</v>
      </c>
      <c r="O312" s="46">
        <f>'3-Digit Lotto Table'!G704</f>
        <v>0</v>
      </c>
      <c r="P312" s="31">
        <v>799</v>
      </c>
      <c r="Q312" s="46">
        <f>'3-Digit Lotto Table'!G804</f>
        <v>0</v>
      </c>
      <c r="R312" s="31">
        <v>899</v>
      </c>
      <c r="S312" s="46">
        <f>'3-Digit Lotto Table'!G904</f>
        <v>0</v>
      </c>
      <c r="T312" s="36">
        <v>999</v>
      </c>
      <c r="U312" s="48">
        <f>'3-Digit Lotto Table'!G1004</f>
        <v>0</v>
      </c>
    </row>
  </sheetData>
  <mergeCells count="4">
    <mergeCell ref="B3:D3"/>
    <mergeCell ref="B107:D107"/>
    <mergeCell ref="B211:D211"/>
    <mergeCell ref="A1:D1"/>
  </mergeCells>
  <phoneticPr fontId="4" type="noConversion"/>
  <conditionalFormatting sqref="C1:C1048576 E1:E2 G2:G1048576 I1:I1048576 K1:K1048576 M1:M1048576 O1:O1048576 Q1:Q1048576 S1:S1048576 U1:U1048576 E4:E106 E108:E210 E212:E1048576">
    <cfRule type="colorScale" priority="4">
      <colorScale>
        <cfvo type="min"/>
        <cfvo type="max"/>
        <color rgb="FFFCFCFF"/>
        <color rgb="FFF8696B"/>
      </colorScale>
    </cfRule>
  </conditionalFormatting>
  <conditionalFormatting sqref="C5:C104 E5:E104 G5:G104 I5:I104 K5:K104 M5:M104 O5:O104 Q5:Q104 S5:S104 U5:U104">
    <cfRule type="colorScale" priority="3">
      <colorScale>
        <cfvo type="min"/>
        <cfvo type="max"/>
        <color rgb="FFFCFCFF"/>
        <color rgb="FFF8696B"/>
      </colorScale>
    </cfRule>
  </conditionalFormatting>
  <conditionalFormatting sqref="C109:C208 E109:E208 G109:G208 I109:I208 K109:K208 M109:M208 O109:O208 Q109:Q208 S109:S208 U109:U208">
    <cfRule type="colorScale" priority="2">
      <colorScale>
        <cfvo type="min"/>
        <cfvo type="max"/>
        <color rgb="FFFCFCFF"/>
        <color rgb="FFF8696B"/>
      </colorScale>
    </cfRule>
  </conditionalFormatting>
  <conditionalFormatting sqref="C213:C312 E213:E312 G213:G312 I213:I312 K213:K312 M213:M312 O213:O312 Q213:Q312 S213:S312 U213:U312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218C7-26B5-48D1-8031-8D3115736BB5}">
  <dimension ref="A1:E27"/>
  <sheetViews>
    <sheetView workbookViewId="0">
      <selection activeCell="E11" sqref="E11"/>
    </sheetView>
  </sheetViews>
  <sheetFormatPr defaultRowHeight="15.6" x14ac:dyDescent="0.3"/>
  <cols>
    <col min="1" max="1" width="8.88671875" style="53"/>
    <col min="2" max="2" width="18.88671875" style="53" bestFit="1" customWidth="1"/>
    <col min="3" max="3" width="16.77734375" style="53" bestFit="1" customWidth="1"/>
    <col min="4" max="4" width="8.88671875" style="53"/>
    <col min="5" max="5" width="12.5546875" style="53" bestFit="1" customWidth="1"/>
    <col min="6" max="16384" width="8.88671875" style="53"/>
  </cols>
  <sheetData>
    <row r="1" spans="1:5" ht="24.6" x14ac:dyDescent="0.3">
      <c r="A1" s="70" t="s">
        <v>30</v>
      </c>
      <c r="B1" s="70"/>
      <c r="C1" s="70"/>
      <c r="D1" s="70"/>
      <c r="E1" s="70"/>
    </row>
    <row r="3" spans="1:5" x14ac:dyDescent="0.3">
      <c r="A3" s="69" t="s">
        <v>37</v>
      </c>
      <c r="B3" s="69"/>
      <c r="C3" s="69"/>
      <c r="D3" s="69"/>
      <c r="E3" s="69"/>
    </row>
    <row r="7" spans="1:5" x14ac:dyDescent="0.3">
      <c r="B7" s="54" t="s">
        <v>31</v>
      </c>
      <c r="C7" s="54"/>
      <c r="D7" s="54"/>
      <c r="E7" s="61">
        <f>Customer!C1</f>
        <v>92330</v>
      </c>
    </row>
    <row r="8" spans="1:5" x14ac:dyDescent="0.3">
      <c r="B8" s="68" t="s">
        <v>44</v>
      </c>
      <c r="C8" s="68"/>
      <c r="D8" s="54"/>
      <c r="E8" s="60">
        <f>'2-Digit Lotto Table'!C2</f>
        <v>35070</v>
      </c>
    </row>
    <row r="9" spans="1:5" x14ac:dyDescent="0.3">
      <c r="B9" s="68" t="s">
        <v>43</v>
      </c>
      <c r="C9" s="68"/>
      <c r="D9" s="54"/>
      <c r="E9" s="60">
        <f>'2-Digit Lotto Table'!G2</f>
        <v>34570</v>
      </c>
    </row>
    <row r="10" spans="1:5" x14ac:dyDescent="0.3">
      <c r="B10" s="68" t="s">
        <v>45</v>
      </c>
      <c r="C10" s="68"/>
      <c r="D10" s="54"/>
      <c r="E10" s="60">
        <f>'3-Digit Lotto Table'!C2</f>
        <v>11320</v>
      </c>
    </row>
    <row r="11" spans="1:5" x14ac:dyDescent="0.3">
      <c r="B11" s="68" t="s">
        <v>46</v>
      </c>
      <c r="C11" s="68"/>
      <c r="D11" s="54"/>
      <c r="E11" s="60">
        <f>'3-Digit Lotto Table'!D2</f>
        <v>9380</v>
      </c>
    </row>
    <row r="12" spans="1:5" x14ac:dyDescent="0.3">
      <c r="B12" s="68" t="s">
        <v>47</v>
      </c>
      <c r="C12" s="68"/>
      <c r="D12" s="54"/>
      <c r="E12" s="60">
        <f>'3-Digit Lotto Table'!G2</f>
        <v>1990</v>
      </c>
    </row>
    <row r="13" spans="1:5" x14ac:dyDescent="0.3">
      <c r="B13" s="56"/>
      <c r="C13" s="55"/>
      <c r="D13" s="55"/>
      <c r="E13" s="55"/>
    </row>
    <row r="14" spans="1:5" x14ac:dyDescent="0.3">
      <c r="B14" s="57" t="s">
        <v>32</v>
      </c>
      <c r="C14" s="55"/>
      <c r="D14" s="55"/>
      <c r="E14" s="60"/>
    </row>
    <row r="15" spans="1:5" x14ac:dyDescent="0.3">
      <c r="B15" s="68" t="s">
        <v>38</v>
      </c>
      <c r="C15" s="68"/>
      <c r="D15" s="55"/>
      <c r="E15" s="60"/>
    </row>
    <row r="16" spans="1:5" x14ac:dyDescent="0.3">
      <c r="B16" s="68" t="s">
        <v>39</v>
      </c>
      <c r="C16" s="68"/>
      <c r="D16" s="55"/>
      <c r="E16" s="60"/>
    </row>
    <row r="17" spans="2:5" x14ac:dyDescent="0.3">
      <c r="B17" s="68" t="s">
        <v>40</v>
      </c>
      <c r="C17" s="68"/>
      <c r="D17" s="55"/>
      <c r="E17" s="60"/>
    </row>
    <row r="18" spans="2:5" x14ac:dyDescent="0.3">
      <c r="B18" s="68" t="s">
        <v>41</v>
      </c>
      <c r="C18" s="68"/>
      <c r="D18" s="55"/>
      <c r="E18" s="60"/>
    </row>
    <row r="19" spans="2:5" x14ac:dyDescent="0.3">
      <c r="B19" s="68" t="s">
        <v>42</v>
      </c>
      <c r="C19" s="68"/>
      <c r="D19" s="55"/>
      <c r="E19" s="60"/>
    </row>
    <row r="20" spans="2:5" x14ac:dyDescent="0.3">
      <c r="B20" s="57" t="s">
        <v>35</v>
      </c>
      <c r="D20" s="55"/>
      <c r="E20" s="61">
        <f>SUM(E15:E19)</f>
        <v>0</v>
      </c>
    </row>
    <row r="21" spans="2:5" x14ac:dyDescent="0.3">
      <c r="B21" s="56"/>
      <c r="C21" s="55"/>
      <c r="D21" s="55"/>
      <c r="E21" s="60"/>
    </row>
    <row r="22" spans="2:5" x14ac:dyDescent="0.3">
      <c r="B22" s="57" t="s">
        <v>33</v>
      </c>
      <c r="C22" s="58"/>
      <c r="D22" s="58"/>
      <c r="E22" s="61">
        <f>E7-E20</f>
        <v>92330</v>
      </c>
    </row>
    <row r="23" spans="2:5" x14ac:dyDescent="0.3">
      <c r="B23" s="56"/>
      <c r="C23" s="55"/>
      <c r="D23" s="55"/>
      <c r="E23" s="62"/>
    </row>
    <row r="24" spans="2:5" x14ac:dyDescent="0.3">
      <c r="B24" s="57" t="s">
        <v>34</v>
      </c>
      <c r="C24" s="55"/>
      <c r="D24" s="55"/>
      <c r="E24" s="62"/>
    </row>
    <row r="25" spans="2:5" x14ac:dyDescent="0.3">
      <c r="B25" s="59" t="s">
        <v>14</v>
      </c>
      <c r="D25" s="55"/>
      <c r="E25" s="62">
        <f>Customer!E1</f>
        <v>17725.7</v>
      </c>
    </row>
    <row r="26" spans="2:5" x14ac:dyDescent="0.3">
      <c r="B26" s="56"/>
      <c r="C26" s="55"/>
      <c r="D26" s="55"/>
      <c r="E26" s="62"/>
    </row>
    <row r="27" spans="2:5" ht="19.2" x14ac:dyDescent="0.3">
      <c r="B27" s="57" t="s">
        <v>36</v>
      </c>
      <c r="C27" s="55"/>
      <c r="D27" s="55"/>
      <c r="E27" s="63">
        <f>E22-E25</f>
        <v>74604.3</v>
      </c>
    </row>
  </sheetData>
  <mergeCells count="12">
    <mergeCell ref="A3:E3"/>
    <mergeCell ref="A1:E1"/>
    <mergeCell ref="B15:C15"/>
    <mergeCell ref="B16:C16"/>
    <mergeCell ref="B17:C17"/>
    <mergeCell ref="B18:C18"/>
    <mergeCell ref="B19:C19"/>
    <mergeCell ref="B8:C8"/>
    <mergeCell ref="B9:C9"/>
    <mergeCell ref="B10:C10"/>
    <mergeCell ref="B11:C11"/>
    <mergeCell ref="B12:C12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All Bills</vt:lpstr>
      <vt:lpstr>Customer</vt:lpstr>
      <vt:lpstr>2-Digit Lotto Table</vt:lpstr>
      <vt:lpstr>3-Digit Lotto Table</vt:lpstr>
      <vt:lpstr>Chart</vt:lpstr>
      <vt:lpstr>2-Digit Heat map</vt:lpstr>
      <vt:lpstr>3-Digit Heat map</vt:lpstr>
      <vt:lpstr>Income statement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กรวิชญ์ โตวิวัฒน์</dc:creator>
  <cp:lastModifiedBy>กรวิชญ์ โตวิวัฒน์</cp:lastModifiedBy>
  <cp:lastPrinted>2021-12-30T23:26:12Z</cp:lastPrinted>
  <dcterms:created xsi:type="dcterms:W3CDTF">2021-12-27T01:35:07Z</dcterms:created>
  <dcterms:modified xsi:type="dcterms:W3CDTF">2021-12-31T04:51:54Z</dcterms:modified>
</cp:coreProperties>
</file>